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118A1BC-418E-42BE-8E25-257D927BC3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_Quality_Summary" sheetId="3" r:id="rId1"/>
    <sheet name="Cleaned_Data" sheetId="5" r:id="rId2"/>
    <sheet name="Raw_Data" sheetId="1" r:id="rId3"/>
    <sheet name="Working_Data" sheetId="2" r:id="rId4"/>
  </sheets>
  <definedNames>
    <definedName name="_xlnm._FilterDatabase" localSheetId="3" hidden="1">Working_Data!$J$1:$J$51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B9" i="3" s="1" a="1"/>
  <c r="B9" i="3" s="1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C4" i="2"/>
  <c r="B7" i="3"/>
  <c r="B6" i="3"/>
  <c r="B8" i="3"/>
  <c r="B5" i="3"/>
  <c r="C7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6" i="2"/>
  <c r="C5" i="2"/>
  <c r="C3" i="2"/>
  <c r="C2" i="2"/>
  <c r="H4" i="2"/>
  <c r="H2" i="2"/>
  <c r="H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B10" i="3" l="1" a="1"/>
  <c r="B10" i="3" s="1"/>
  <c r="B11" i="3" a="1"/>
  <c r="B11" i="3" s="1"/>
  <c r="B12" i="3" a="1"/>
  <c r="B1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<sst xmlns="http://schemas.openxmlformats.org/spreadsheetml/2006/main" count="962" uniqueCount="239">
  <si>
    <t>Record_ID</t>
  </si>
  <si>
    <t>Customer_Name</t>
  </si>
  <si>
    <t>Email</t>
  </si>
  <si>
    <t>Phone</t>
  </si>
  <si>
    <t>Department</t>
  </si>
  <si>
    <t>Date</t>
  </si>
  <si>
    <t>Status</t>
  </si>
  <si>
    <t>Amount_NGN</t>
  </si>
  <si>
    <t>Daniel Okafor</t>
  </si>
  <si>
    <t>Michael Onyeka</t>
  </si>
  <si>
    <t>Samuel Obi</t>
  </si>
  <si>
    <t>Ada Adebayo</t>
  </si>
  <si>
    <t>Joy Onyeka</t>
  </si>
  <si>
    <t>Grace Adeyemi</t>
  </si>
  <si>
    <t xml:space="preserve">Joseph Okeke </t>
  </si>
  <si>
    <t>Grace Umeh</t>
  </si>
  <si>
    <t>Daniel Onyeka</t>
  </si>
  <si>
    <t>Victor Adeyemi</t>
  </si>
  <si>
    <t>Esther Adebayo</t>
  </si>
  <si>
    <t>Emeka Okeke</t>
  </si>
  <si>
    <t>Emeka Onyeka</t>
  </si>
  <si>
    <t>Ngozi Adeyemi</t>
  </si>
  <si>
    <t>Grace Obi</t>
  </si>
  <si>
    <t>Joy Umeh</t>
  </si>
  <si>
    <t>Mary Okafor</t>
  </si>
  <si>
    <t xml:space="preserve">Joseph Obi </t>
  </si>
  <si>
    <t>Chioma Okeke</t>
  </si>
  <si>
    <t>Blessing Okafor</t>
  </si>
  <si>
    <t>Blessing Obi</t>
  </si>
  <si>
    <t>Esther Adeyemi</t>
  </si>
  <si>
    <t>David Ibrahim</t>
  </si>
  <si>
    <t>Daniel Nwosu</t>
  </si>
  <si>
    <t>David Onyeka</t>
  </si>
  <si>
    <t>Mary Umeh</t>
  </si>
  <si>
    <t>Chinedu Nwosu</t>
  </si>
  <si>
    <t>Kelvin Adebayo</t>
  </si>
  <si>
    <t>Ngozi Umeh</t>
  </si>
  <si>
    <t>Victor Okafor</t>
  </si>
  <si>
    <t>Samuel Ibrahim</t>
  </si>
  <si>
    <t>Chinedu Onyeka</t>
  </si>
  <si>
    <t>Francis Adeyemi</t>
  </si>
  <si>
    <t>Michael Okafor</t>
  </si>
  <si>
    <t>Amaka Obi</t>
  </si>
  <si>
    <t>Ifeoma Okeke</t>
  </si>
  <si>
    <t>Francis Eze</t>
  </si>
  <si>
    <t>Samuel Umeh</t>
  </si>
  <si>
    <t>Ifeoma Okafor</t>
  </si>
  <si>
    <t>Ada Umeh</t>
  </si>
  <si>
    <t>Esther Eze</t>
  </si>
  <si>
    <t>Ifeoma Adebayo</t>
  </si>
  <si>
    <t>Ifeoma Adeyemi</t>
  </si>
  <si>
    <t>Kelvin Umeh</t>
  </si>
  <si>
    <t>Grace Onyeka</t>
  </si>
  <si>
    <t>Ada Obi</t>
  </si>
  <si>
    <t>Joseph Okafor</t>
  </si>
  <si>
    <t>Esther Ibrahim</t>
  </si>
  <si>
    <t>daniel.okafor@example.com</t>
  </si>
  <si>
    <t>michael.onyeka@example.com</t>
  </si>
  <si>
    <t>samuel.obi@example.com</t>
  </si>
  <si>
    <t>ada.adebayo@example.com</t>
  </si>
  <si>
    <t>joy.onyeka@example.com</t>
  </si>
  <si>
    <t>grace.adeyemi@example.com</t>
  </si>
  <si>
    <t>joseph.okeke@example.com</t>
  </si>
  <si>
    <t>grace.umeh@example.com</t>
  </si>
  <si>
    <t>daniel.onyeka@example.com</t>
  </si>
  <si>
    <t>victor.adeyemi@example.com</t>
  </si>
  <si>
    <t>esther.adebayo@example.com</t>
  </si>
  <si>
    <t>emeka.onyeka@example.com</t>
  </si>
  <si>
    <t>ngozi.adeyemi@example.com</t>
  </si>
  <si>
    <t>grace.obi@example.com</t>
  </si>
  <si>
    <t>joy.umeh@example.com</t>
  </si>
  <si>
    <t>mary.okafor@example.com</t>
  </si>
  <si>
    <t>joseph.obi@example.com</t>
  </si>
  <si>
    <t>chioma.okeke@example.com</t>
  </si>
  <si>
    <t>blessing.okafor@example.com</t>
  </si>
  <si>
    <t>blessing.obi@example.com</t>
  </si>
  <si>
    <t>esther.adeyemi@example.com</t>
  </si>
  <si>
    <t>david.ibrahim@example.com</t>
  </si>
  <si>
    <t>daniel.nwosu@example.com</t>
  </si>
  <si>
    <t>david.onyeka@example.com</t>
  </si>
  <si>
    <t>mary.umeh@example.com</t>
  </si>
  <si>
    <t>chinedu.nwosu@example.com</t>
  </si>
  <si>
    <t>kelvin.adebayo@example.com</t>
  </si>
  <si>
    <t>ngozi.umeh@example.com</t>
  </si>
  <si>
    <t>victor.okafor@example.com</t>
  </si>
  <si>
    <t>samuel.ibrahim@example.com</t>
  </si>
  <si>
    <t>chinedu.onyeka@example.com</t>
  </si>
  <si>
    <t>francis.adeyemi@example.com</t>
  </si>
  <si>
    <t>michael.okafor@example.com</t>
  </si>
  <si>
    <t>amaka.obi@example.com</t>
  </si>
  <si>
    <t>ifeoma.okeke@example.com</t>
  </si>
  <si>
    <t>francis.eze@example.com</t>
  </si>
  <si>
    <t>samuel.umeh@example.com</t>
  </si>
  <si>
    <t>ifeoma.okafor@example.com</t>
  </si>
  <si>
    <t>ada.umeh@example.com</t>
  </si>
  <si>
    <t>esther.eze@example.com</t>
  </si>
  <si>
    <t>ifeoma.adebayo@example.com</t>
  </si>
  <si>
    <t>ifeoma.adeyemi@example.com</t>
  </si>
  <si>
    <t>kelvin.umeh@example.com</t>
  </si>
  <si>
    <t>grace.onyeka@example.com</t>
  </si>
  <si>
    <t>ada.obi@example.com</t>
  </si>
  <si>
    <t>joseph.okafor@example.com</t>
  </si>
  <si>
    <t>esther.ibrahim@example.com</t>
  </si>
  <si>
    <t>08072117550</t>
  </si>
  <si>
    <t>080-8348-1367</t>
  </si>
  <si>
    <t>+2348088409572</t>
  </si>
  <si>
    <t>080-7732-1077</t>
  </si>
  <si>
    <t>080-7895-1691</t>
  </si>
  <si>
    <t>+2348055070003</t>
  </si>
  <si>
    <t>08044769043</t>
  </si>
  <si>
    <t>08091039726</t>
  </si>
  <si>
    <t>08025645592</t>
  </si>
  <si>
    <t>08069608269</t>
  </si>
  <si>
    <t>08075196103</t>
  </si>
  <si>
    <t>080-6320-7356</t>
  </si>
  <si>
    <t>080-7630-6338</t>
  </si>
  <si>
    <t>08051637154</t>
  </si>
  <si>
    <t>+2348064260771</t>
  </si>
  <si>
    <t>+2348075620223</t>
  </si>
  <si>
    <t>+2348047562240</t>
  </si>
  <si>
    <t>+2348094847092</t>
  </si>
  <si>
    <t>+2348036937066</t>
  </si>
  <si>
    <t>+2348079285447</t>
  </si>
  <si>
    <t>080-0242-6353</t>
  </si>
  <si>
    <t>080-3371-0029</t>
  </si>
  <si>
    <t>+2348056189025</t>
  </si>
  <si>
    <t>08062025146</t>
  </si>
  <si>
    <t>+2348040043209</t>
  </si>
  <si>
    <t>+2348062985433</t>
  </si>
  <si>
    <t>+2348073042819</t>
  </si>
  <si>
    <t>+2348007856844</t>
  </si>
  <si>
    <t>080-0726-3036</t>
  </si>
  <si>
    <t>080-4246-1163</t>
  </si>
  <si>
    <t>+2348099296439</t>
  </si>
  <si>
    <t>080-7031-9342</t>
  </si>
  <si>
    <t>080-6658-9120</t>
  </si>
  <si>
    <t>08061009125</t>
  </si>
  <si>
    <t>08031184665</t>
  </si>
  <si>
    <t>080-7854-9044</t>
  </si>
  <si>
    <t>080-2423-4404</t>
  </si>
  <si>
    <t>080-2315-1483</t>
  </si>
  <si>
    <t>+2348021733085</t>
  </si>
  <si>
    <t>08017004464</t>
  </si>
  <si>
    <t>+2348040344624</t>
  </si>
  <si>
    <t>080-7096-4556</t>
  </si>
  <si>
    <t>08046753040</t>
  </si>
  <si>
    <t>+2348037606335</t>
  </si>
  <si>
    <t>080-1912-7557</t>
  </si>
  <si>
    <t>080-7916-5477</t>
  </si>
  <si>
    <t>08012685188</t>
  </si>
  <si>
    <t>080-1266-0845</t>
  </si>
  <si>
    <t>08062460905</t>
  </si>
  <si>
    <t>+2348009595271</t>
  </si>
  <si>
    <t>Sales</t>
  </si>
  <si>
    <t>Customer Service</t>
  </si>
  <si>
    <t>sales</t>
  </si>
  <si>
    <t>Finance</t>
  </si>
  <si>
    <t>Operations</t>
  </si>
  <si>
    <t>05/08/2026</t>
  </si>
  <si>
    <t>09/08/2026</t>
  </si>
  <si>
    <t>07/08/2026</t>
  </si>
  <si>
    <t>06/08/2026</t>
  </si>
  <si>
    <t>08/08/2026</t>
  </si>
  <si>
    <t xml:space="preserve">Pending </t>
  </si>
  <si>
    <t>Pending</t>
  </si>
  <si>
    <t>Completed</t>
  </si>
  <si>
    <t>completed</t>
  </si>
  <si>
    <t>Data_Quality_Notes</t>
  </si>
  <si>
    <t>Missing Email - requires verification</t>
  </si>
  <si>
    <t>Clean_Phone</t>
  </si>
  <si>
    <t>Clean_Department</t>
  </si>
  <si>
    <t>Clean_Status</t>
  </si>
  <si>
    <t>Clean_Customer_Name</t>
  </si>
  <si>
    <t>Result</t>
  </si>
  <si>
    <t>Total Raw Records</t>
  </si>
  <si>
    <t>Missing Email Records</t>
  </si>
  <si>
    <t>Final Clean Records</t>
  </si>
  <si>
    <t>Phone Numbers Standardized</t>
  </si>
  <si>
    <t>Department Values Standardized</t>
  </si>
  <si>
    <t>Status Values Standardized</t>
  </si>
  <si>
    <t>Customer Names Standardized</t>
  </si>
  <si>
    <t>Duplicate Records Removed</t>
  </si>
  <si>
    <t>Customer Records Cleaning Project</t>
  </si>
  <si>
    <t>Data Quality Summary</t>
  </si>
  <si>
    <t>Data Quality Check</t>
  </si>
  <si>
    <t>Key Findings</t>
  </si>
  <si>
    <t>One (1) duplicate record was identified and removed.</t>
  </si>
  <si>
    <t>One (1) record had a missin email and was flagged for verification.</t>
  </si>
  <si>
    <t>Phone number formats were standardized across 36 records.</t>
  </si>
  <si>
    <t>Department values were standardized across 5 records.</t>
  </si>
  <si>
    <t>Status were standardized across 26 records.</t>
  </si>
  <si>
    <t>Customer names were standardized across 2 records.</t>
  </si>
  <si>
    <t>Cleaning Actions</t>
  </si>
  <si>
    <t>Reviewed the dataset for duplicate records.</t>
  </si>
  <si>
    <t>Removed one confirmed duplicate records.</t>
  </si>
  <si>
    <t>Identified and flagged one missing email for verification.</t>
  </si>
  <si>
    <t>Standardized phone numbers into a consistent 080XXXXXXXX format.</t>
  </si>
  <si>
    <t>Standardized department names for consistent capitalization.</t>
  </si>
  <si>
    <t>Removed unnecessary spaces and standardized capitalization in status values.</t>
  </si>
  <si>
    <t>Removed unnecessary spaces and standardized capitalization in customer names.</t>
  </si>
  <si>
    <t>Joseph Okeke</t>
  </si>
  <si>
    <t>Joseph Obi</t>
  </si>
  <si>
    <t>08083481367</t>
  </si>
  <si>
    <t>08088409572</t>
  </si>
  <si>
    <t>08077321077</t>
  </si>
  <si>
    <t>08078951691</t>
  </si>
  <si>
    <t>08055070003</t>
  </si>
  <si>
    <t>08063207356</t>
  </si>
  <si>
    <t>08076306338</t>
  </si>
  <si>
    <t>08064260771</t>
  </si>
  <si>
    <t>08075620223</t>
  </si>
  <si>
    <t>08047562240</t>
  </si>
  <si>
    <t>08094847092</t>
  </si>
  <si>
    <t>08036937066</t>
  </si>
  <si>
    <t>08079285447</t>
  </si>
  <si>
    <t>08002426353</t>
  </si>
  <si>
    <t>08033710029</t>
  </si>
  <si>
    <t>08056189025</t>
  </si>
  <si>
    <t>08040043209</t>
  </si>
  <si>
    <t>08062985433</t>
  </si>
  <si>
    <t>08073042819</t>
  </si>
  <si>
    <t>08007856844</t>
  </si>
  <si>
    <t>08007263036</t>
  </si>
  <si>
    <t>08042461163</t>
  </si>
  <si>
    <t>08099296439</t>
  </si>
  <si>
    <t>08070319342</t>
  </si>
  <si>
    <t>08066589120</t>
  </si>
  <si>
    <t>08078549044</t>
  </si>
  <si>
    <t>08024234404</t>
  </si>
  <si>
    <t>08023151483</t>
  </si>
  <si>
    <t>08021733085</t>
  </si>
  <si>
    <t>08040344624</t>
  </si>
  <si>
    <t>08070964556</t>
  </si>
  <si>
    <t>08037606335</t>
  </si>
  <si>
    <t>08019127557</t>
  </si>
  <si>
    <t>08079165477</t>
  </si>
  <si>
    <t>08012660845</t>
  </si>
  <si>
    <t>08009595271</t>
  </si>
  <si>
    <t>Missing email - requires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</si>
</sst>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₦-466]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3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top"/>
    </xf>
    <xf numFmtId="0" fontId="1" fillId="0" borderId="0" xfId="0" applyFont="1"/>
    <xf numFmtId="14" fontId="0" fillId="0" borderId="0" xfId="0" applyNumberFormat="1"/>
    <xf numFmtId="14" fontId="3" fillId="0" borderId="1" xfId="0" applyNumberFormat="1" applyFont="1" applyBorder="1" applyAlignment="1">
      <alignment horizontal="center" vertical="top"/>
    </xf>
    <xf numFmtId="164" fontId="3" fillId="0" borderId="1" xfId="1" applyNumberFormat="1" applyFont="1" applyBorder="1" applyAlignment="1">
      <alignment horizontal="center" vertical="top"/>
    </xf>
    <xf numFmtId="164" fontId="0" fillId="0" borderId="0" xfId="1" applyNumberFormat="1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5">
    <dxf>
      <fill>
        <patternFill>
          <bgColor theme="6" tint="0.3999450666829432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[$₦-466]\ #,##0.00"/>
    </dxf>
    <dxf>
      <numFmt numFmtId="19" formatCode="m/d/yyyy"/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1DDCA59-81B2-4C63-A298-F68CAFF7476F}" name="Table3" displayName="Table3" ref="A1:I51" totalsRowShown="0">
  <autoFilter ref="A1:I51" xr:uid="{01DDCA59-81B2-4C63-A298-F68CAFF7476F}"/>
  <tableColumns count="9">
    <tableColumn id="1" xr3:uid="{024E793E-A33E-44A8-AFF7-930E190F68BA}" name="Record_ID"/>
    <tableColumn id="2" xr3:uid="{3A80CDF2-B8A7-4CDF-8E6F-A0A30A2764FB}" name="Customer_Name"/>
    <tableColumn id="3" xr3:uid="{5FB2C967-AD15-4EEE-8A97-6762434F5BDB}" name="Email"/>
    <tableColumn id="4" xr3:uid="{BCE2068C-34CD-4CBD-A6FD-E78341CEE8A2}" name="Phone"/>
    <tableColumn id="5" xr3:uid="{56FB9155-FADF-4C6A-BF88-22E1075CFD06}" name="Department"/>
    <tableColumn id="6" xr3:uid="{495018A2-A798-4354-93B8-26D53E59617A}" name="Date" dataDxfId="3"/>
    <tableColumn id="7" xr3:uid="{A2681346-5E39-4021-8171-4F6B6B4EE09B}" name="Status"/>
    <tableColumn id="8" xr3:uid="{F0D6930E-DE55-4711-86E4-E09A4B0C844D}" name="Amount_NGN" dataDxfId="2" dataCellStyle="Currency"/>
    <tableColumn id="9" xr3:uid="{604CB7D1-C283-4385-B60E-454E4EEC5FCB}" name="Data_Quality_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B0A2D-A08B-4E06-B9C4-D714C62080F4}" name="Table1" displayName="Table1" ref="A1:H52" totalsRowShown="0" headerRowDxfId="1">
  <autoFilter ref="A1:H52" xr:uid="{0B7B0A2D-A08B-4E06-B9C4-D714C62080F4}"/>
  <tableColumns count="8">
    <tableColumn id="1" xr3:uid="{17B76DCE-2A99-40CF-B7BD-A27C799832AC}" name="Record_ID"/>
    <tableColumn id="2" xr3:uid="{0E5DBB59-4F57-4371-8F26-057528BA2653}" name="Customer_Name"/>
    <tableColumn id="3" xr3:uid="{F8BBF346-503E-4277-BBB4-4C9519197F53}" name="Email"/>
    <tableColumn id="4" xr3:uid="{9A25FE85-4CBD-43EB-B918-1BE02ECC0F42}" name="Phone"/>
    <tableColumn id="5" xr3:uid="{8D1A47DE-876C-4CC5-9039-C6CDFBF5BDCF}" name="Department"/>
    <tableColumn id="6" xr3:uid="{D115F210-5F07-49BC-8337-A793B238E798}" name="Date"/>
    <tableColumn id="7" xr3:uid="{98BDF846-1B62-4586-8FBA-33F8D3A22094}" name="Status"/>
    <tableColumn id="8" xr3:uid="{84B211FF-ED2D-40B7-A795-23413E9ECA17}" name="Amount_NG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E20B6-39AF-4634-A792-383A64F00172}">
  <dimension ref="A1:B29"/>
  <sheetViews>
    <sheetView tabSelected="1" workbookViewId="0">
      <selection sqref="A1:B1"/>
    </sheetView>
  </sheetViews>
  <sheetFormatPr defaultRowHeight="14.4" x14ac:dyDescent="0.3"/>
  <cols>
    <col min="1" max="1" width="68.44140625" bestFit="1" customWidth="1"/>
    <col min="2" max="2" width="25.6640625" customWidth="1"/>
    <col min="11" max="11" width="7.88671875" customWidth="1"/>
  </cols>
  <sheetData>
    <row r="1" spans="1:2" ht="25.8" x14ac:dyDescent="0.5">
      <c r="A1" s="16" t="s">
        <v>183</v>
      </c>
      <c r="B1" s="16"/>
    </row>
    <row r="2" spans="1:2" ht="17.399999999999999" x14ac:dyDescent="0.35">
      <c r="A2" s="17" t="s">
        <v>182</v>
      </c>
      <c r="B2" s="17"/>
    </row>
    <row r="3" spans="1:2" ht="18" x14ac:dyDescent="0.35">
      <c r="A3" s="2"/>
      <c r="B3" s="2"/>
    </row>
    <row r="4" spans="1:2" ht="15.6" x14ac:dyDescent="0.3">
      <c r="A4" s="4" t="s">
        <v>184</v>
      </c>
      <c r="B4" s="4" t="s">
        <v>173</v>
      </c>
    </row>
    <row r="5" spans="1:2" x14ac:dyDescent="0.3">
      <c r="A5" s="6" t="s">
        <v>174</v>
      </c>
      <c r="B5" s="5">
        <f>COUNTA(Raw_Data!A2:A52)</f>
        <v>51</v>
      </c>
    </row>
    <row r="6" spans="1:2" x14ac:dyDescent="0.3">
      <c r="A6" s="6" t="s">
        <v>181</v>
      </c>
      <c r="B6" s="5">
        <f>COUNTA(Raw_Data!A2:A52)-COUNTA(_xlfn.UNIQUE(Raw_Data!A2:A52))</f>
        <v>1</v>
      </c>
    </row>
    <row r="7" spans="1:2" x14ac:dyDescent="0.3">
      <c r="A7" s="6" t="s">
        <v>175</v>
      </c>
      <c r="B7" s="5">
        <f>COUNTBLANK(Raw_Data!C2:C51)</f>
        <v>1</v>
      </c>
    </row>
    <row r="8" spans="1:2" x14ac:dyDescent="0.3">
      <c r="A8" s="6" t="s">
        <v>176</v>
      </c>
      <c r="B8" s="5">
        <f>COUNTA(Cleaned_Data!A2:A51)</f>
        <v>50</v>
      </c>
    </row>
    <row r="9" spans="1:2" x14ac:dyDescent="0.3">
      <c r="A9" s="6" t="s">
        <v>177</v>
      </c>
      <c r="B9" s="5" cm="1">
        <f t="array" ref="B9">SUMPRODUCT(--NOT(EXACT(Working_Data!E2:E51,Working_Data!F2:F51)))</f>
        <v>36</v>
      </c>
    </row>
    <row r="10" spans="1:2" x14ac:dyDescent="0.3">
      <c r="A10" s="6" t="s">
        <v>178</v>
      </c>
      <c r="B10" s="5" cm="1">
        <f t="array" ref="B10">SUMPRODUCT(--NOT(EXACT(Working_Data!G2:G51,Working_Data!H2:H51)))</f>
        <v>5</v>
      </c>
    </row>
    <row r="11" spans="1:2" x14ac:dyDescent="0.3">
      <c r="A11" s="6" t="s">
        <v>179</v>
      </c>
      <c r="B11" s="5" cm="1">
        <f t="array" ref="B11">SUMPRODUCT(--NOT(EXACT(Working_Data!J2:J51,Working_Data!K2:K51)))</f>
        <v>26</v>
      </c>
    </row>
    <row r="12" spans="1:2" x14ac:dyDescent="0.3">
      <c r="A12" s="6" t="s">
        <v>180</v>
      </c>
      <c r="B12" s="5" cm="1">
        <f t="array" ref="B12">SUMPRODUCT(--NOT(EXACT(Working_Data!B2:B51,Working_Data!C2:C51)))</f>
        <v>2</v>
      </c>
    </row>
    <row r="14" spans="1:2" ht="15.6" x14ac:dyDescent="0.3">
      <c r="A14" s="3" t="s">
        <v>185</v>
      </c>
    </row>
    <row r="15" spans="1:2" x14ac:dyDescent="0.3">
      <c r="A15" t="s">
        <v>186</v>
      </c>
    </row>
    <row r="16" spans="1:2" x14ac:dyDescent="0.3">
      <c r="A16" t="s">
        <v>187</v>
      </c>
    </row>
    <row r="17" spans="1:1" x14ac:dyDescent="0.3">
      <c r="A17" t="s">
        <v>188</v>
      </c>
    </row>
    <row r="18" spans="1:1" x14ac:dyDescent="0.3">
      <c r="A18" t="s">
        <v>189</v>
      </c>
    </row>
    <row r="19" spans="1:1" x14ac:dyDescent="0.3">
      <c r="A19" t="s">
        <v>190</v>
      </c>
    </row>
    <row r="20" spans="1:1" x14ac:dyDescent="0.3">
      <c r="A20" t="s">
        <v>191</v>
      </c>
    </row>
    <row r="22" spans="1:1" ht="15.6" x14ac:dyDescent="0.3">
      <c r="A22" s="3" t="s">
        <v>192</v>
      </c>
    </row>
    <row r="23" spans="1:1" x14ac:dyDescent="0.3">
      <c r="A23" t="s">
        <v>193</v>
      </c>
    </row>
    <row r="24" spans="1:1" x14ac:dyDescent="0.3">
      <c r="A24" t="s">
        <v>194</v>
      </c>
    </row>
    <row r="25" spans="1:1" x14ac:dyDescent="0.3">
      <c r="A25" t="s">
        <v>195</v>
      </c>
    </row>
    <row r="26" spans="1:1" x14ac:dyDescent="0.3">
      <c r="A26" t="s">
        <v>196</v>
      </c>
    </row>
    <row r="27" spans="1:1" x14ac:dyDescent="0.3">
      <c r="A27" t="s">
        <v>197</v>
      </c>
    </row>
    <row r="28" spans="1:1" x14ac:dyDescent="0.3">
      <c r="A28" t="s">
        <v>198</v>
      </c>
    </row>
    <row r="29" spans="1:1" x14ac:dyDescent="0.3">
      <c r="A29" t="s">
        <v>199</v>
      </c>
    </row>
  </sheetData>
  <mergeCells count="2">
    <mergeCell ref="A1:B1"/>
    <mergeCell ref="A2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24F71-14D1-484A-8DB1-3C5977F6B603}">
  <dimension ref="A1:I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7.44140625" customWidth="1"/>
    <col min="2" max="2" width="24.33203125" customWidth="1"/>
    <col min="3" max="3" width="32" customWidth="1"/>
    <col min="4" max="4" width="18.88671875" customWidth="1"/>
    <col min="5" max="5" width="23.44140625" customWidth="1"/>
    <col min="6" max="6" width="17.5546875" style="12" customWidth="1"/>
    <col min="7" max="7" width="17" customWidth="1"/>
    <col min="8" max="8" width="19.44140625" style="15" customWidth="1"/>
    <col min="9" max="9" width="30.21875" bestFit="1" customWidth="1"/>
  </cols>
  <sheetData>
    <row r="1" spans="1:9" ht="15.6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3" t="s">
        <v>5</v>
      </c>
      <c r="G1" s="9" t="s">
        <v>6</v>
      </c>
      <c r="H1" s="14" t="s">
        <v>7</v>
      </c>
      <c r="I1" s="10" t="s">
        <v>167</v>
      </c>
    </row>
    <row r="2" spans="1:9" x14ac:dyDescent="0.3">
      <c r="A2">
        <v>1</v>
      </c>
      <c r="B2" t="s">
        <v>8</v>
      </c>
      <c r="C2" t="s">
        <v>56</v>
      </c>
      <c r="D2" t="s">
        <v>103</v>
      </c>
      <c r="E2" t="s">
        <v>153</v>
      </c>
      <c r="F2" s="12" t="s">
        <v>158</v>
      </c>
      <c r="G2" t="s">
        <v>164</v>
      </c>
      <c r="H2" s="15">
        <v>22000</v>
      </c>
    </row>
    <row r="3" spans="1:9" x14ac:dyDescent="0.3">
      <c r="A3">
        <v>2</v>
      </c>
      <c r="B3" t="s">
        <v>9</v>
      </c>
      <c r="C3" t="s">
        <v>57</v>
      </c>
      <c r="D3" t="s">
        <v>202</v>
      </c>
      <c r="E3" t="s">
        <v>153</v>
      </c>
      <c r="F3" s="12" t="s">
        <v>159</v>
      </c>
      <c r="G3" t="s">
        <v>164</v>
      </c>
      <c r="H3" s="15">
        <v>40000</v>
      </c>
    </row>
    <row r="4" spans="1:9" x14ac:dyDescent="0.3">
      <c r="A4">
        <v>3</v>
      </c>
      <c r="B4" t="s">
        <v>10</v>
      </c>
      <c r="C4" t="s">
        <v>58</v>
      </c>
      <c r="D4" t="s">
        <v>203</v>
      </c>
      <c r="E4" t="s">
        <v>154</v>
      </c>
      <c r="F4" s="12" t="s">
        <v>160</v>
      </c>
      <c r="G4" t="s">
        <v>164</v>
      </c>
      <c r="H4" s="15">
        <v>18500</v>
      </c>
    </row>
    <row r="5" spans="1:9" x14ac:dyDescent="0.3">
      <c r="A5">
        <v>4</v>
      </c>
      <c r="B5" t="s">
        <v>11</v>
      </c>
      <c r="C5" t="s">
        <v>59</v>
      </c>
      <c r="D5" t="s">
        <v>204</v>
      </c>
      <c r="E5" t="s">
        <v>153</v>
      </c>
      <c r="F5" s="12" t="s">
        <v>160</v>
      </c>
      <c r="G5" t="s">
        <v>165</v>
      </c>
      <c r="H5" s="15">
        <v>12500</v>
      </c>
    </row>
    <row r="6" spans="1:9" x14ac:dyDescent="0.3">
      <c r="A6">
        <v>5</v>
      </c>
      <c r="B6" t="s">
        <v>12</v>
      </c>
      <c r="C6" t="s">
        <v>60</v>
      </c>
      <c r="D6" t="s">
        <v>205</v>
      </c>
      <c r="E6" t="s">
        <v>154</v>
      </c>
      <c r="F6" s="12" t="s">
        <v>161</v>
      </c>
      <c r="G6" t="s">
        <v>164</v>
      </c>
      <c r="H6" s="15">
        <v>32000</v>
      </c>
    </row>
    <row r="7" spans="1:9" x14ac:dyDescent="0.3">
      <c r="A7">
        <v>6</v>
      </c>
      <c r="B7" t="s">
        <v>13</v>
      </c>
      <c r="C7" t="s">
        <v>61</v>
      </c>
      <c r="D7" t="s">
        <v>206</v>
      </c>
      <c r="E7" t="s">
        <v>156</v>
      </c>
      <c r="F7" s="12" t="s">
        <v>158</v>
      </c>
      <c r="G7" t="s">
        <v>164</v>
      </c>
      <c r="H7" s="15">
        <v>15000</v>
      </c>
    </row>
    <row r="8" spans="1:9" x14ac:dyDescent="0.3">
      <c r="A8">
        <v>7</v>
      </c>
      <c r="B8" t="s">
        <v>200</v>
      </c>
      <c r="C8" t="s">
        <v>62</v>
      </c>
      <c r="D8" t="s">
        <v>109</v>
      </c>
      <c r="E8" t="s">
        <v>153</v>
      </c>
      <c r="F8" s="12" t="s">
        <v>162</v>
      </c>
      <c r="G8" t="s">
        <v>164</v>
      </c>
      <c r="H8" s="15">
        <v>25000</v>
      </c>
    </row>
    <row r="9" spans="1:9" x14ac:dyDescent="0.3">
      <c r="A9">
        <v>8</v>
      </c>
      <c r="B9" t="s">
        <v>15</v>
      </c>
      <c r="C9" t="s">
        <v>63</v>
      </c>
      <c r="D9" t="s">
        <v>110</v>
      </c>
      <c r="E9" t="s">
        <v>153</v>
      </c>
      <c r="F9" s="12" t="s">
        <v>161</v>
      </c>
      <c r="G9" t="s">
        <v>165</v>
      </c>
      <c r="H9" s="15">
        <v>25000</v>
      </c>
    </row>
    <row r="10" spans="1:9" x14ac:dyDescent="0.3">
      <c r="A10">
        <v>9</v>
      </c>
      <c r="B10" t="s">
        <v>16</v>
      </c>
      <c r="C10" t="s">
        <v>64</v>
      </c>
      <c r="D10" t="s">
        <v>111</v>
      </c>
      <c r="E10" t="s">
        <v>157</v>
      </c>
      <c r="F10" s="12" t="s">
        <v>161</v>
      </c>
      <c r="G10" t="s">
        <v>165</v>
      </c>
      <c r="H10" s="15">
        <v>25000</v>
      </c>
    </row>
    <row r="11" spans="1:9" x14ac:dyDescent="0.3">
      <c r="A11">
        <v>10</v>
      </c>
      <c r="B11" t="s">
        <v>17</v>
      </c>
      <c r="C11" t="s">
        <v>65</v>
      </c>
      <c r="D11" t="s">
        <v>112</v>
      </c>
      <c r="E11" t="s">
        <v>157</v>
      </c>
      <c r="F11" s="12" t="s">
        <v>160</v>
      </c>
      <c r="G11" t="s">
        <v>164</v>
      </c>
      <c r="H11" s="15">
        <v>18500</v>
      </c>
    </row>
    <row r="12" spans="1:9" x14ac:dyDescent="0.3">
      <c r="A12">
        <v>11</v>
      </c>
      <c r="B12" t="s">
        <v>18</v>
      </c>
      <c r="C12" t="s">
        <v>66</v>
      </c>
      <c r="D12" t="s">
        <v>113</v>
      </c>
      <c r="E12" t="s">
        <v>153</v>
      </c>
      <c r="F12" s="12" t="s">
        <v>162</v>
      </c>
      <c r="G12" t="s">
        <v>164</v>
      </c>
      <c r="H12" s="15">
        <v>15000</v>
      </c>
    </row>
    <row r="13" spans="1:9" x14ac:dyDescent="0.3">
      <c r="A13">
        <v>12</v>
      </c>
      <c r="B13" t="s">
        <v>19</v>
      </c>
      <c r="D13" t="s">
        <v>207</v>
      </c>
      <c r="E13" t="s">
        <v>157</v>
      </c>
      <c r="F13" s="12" t="s">
        <v>158</v>
      </c>
      <c r="G13" t="s">
        <v>165</v>
      </c>
      <c r="H13" s="15">
        <v>22000</v>
      </c>
      <c r="I13" t="s">
        <v>238</v>
      </c>
    </row>
    <row r="14" spans="1:9" x14ac:dyDescent="0.3">
      <c r="A14">
        <v>13</v>
      </c>
      <c r="B14" t="s">
        <v>20</v>
      </c>
      <c r="C14" t="s">
        <v>67</v>
      </c>
      <c r="D14" t="s">
        <v>208</v>
      </c>
      <c r="E14" t="s">
        <v>157</v>
      </c>
      <c r="F14" s="12" t="s">
        <v>162</v>
      </c>
      <c r="G14" t="s">
        <v>165</v>
      </c>
      <c r="H14" s="15">
        <v>22000</v>
      </c>
    </row>
    <row r="15" spans="1:9" x14ac:dyDescent="0.3">
      <c r="A15">
        <v>14</v>
      </c>
      <c r="B15" t="s">
        <v>21</v>
      </c>
      <c r="C15" t="s">
        <v>68</v>
      </c>
      <c r="D15" t="s">
        <v>116</v>
      </c>
      <c r="E15" t="s">
        <v>153</v>
      </c>
      <c r="F15" s="12" t="s">
        <v>161</v>
      </c>
      <c r="G15" t="s">
        <v>165</v>
      </c>
      <c r="H15" s="15">
        <v>12500</v>
      </c>
    </row>
    <row r="16" spans="1:9" x14ac:dyDescent="0.3">
      <c r="A16">
        <v>15</v>
      </c>
      <c r="B16" t="s">
        <v>22</v>
      </c>
      <c r="C16" t="s">
        <v>69</v>
      </c>
      <c r="D16" t="s">
        <v>209</v>
      </c>
      <c r="E16" t="s">
        <v>154</v>
      </c>
      <c r="F16" s="12" t="s">
        <v>162</v>
      </c>
      <c r="G16" t="s">
        <v>165</v>
      </c>
      <c r="H16" s="15">
        <v>32000</v>
      </c>
    </row>
    <row r="17" spans="1:8" x14ac:dyDescent="0.3">
      <c r="A17">
        <v>16</v>
      </c>
      <c r="B17" t="s">
        <v>23</v>
      </c>
      <c r="C17" t="s">
        <v>70</v>
      </c>
      <c r="D17" t="s">
        <v>210</v>
      </c>
      <c r="E17" t="s">
        <v>153</v>
      </c>
      <c r="F17" s="12" t="s">
        <v>162</v>
      </c>
      <c r="G17" t="s">
        <v>164</v>
      </c>
      <c r="H17" s="15">
        <v>25000</v>
      </c>
    </row>
    <row r="18" spans="1:8" x14ac:dyDescent="0.3">
      <c r="A18">
        <v>17</v>
      </c>
      <c r="B18" t="s">
        <v>24</v>
      </c>
      <c r="C18" t="s">
        <v>71</v>
      </c>
      <c r="D18" t="s">
        <v>211</v>
      </c>
      <c r="E18" t="s">
        <v>154</v>
      </c>
      <c r="F18" s="12" t="s">
        <v>158</v>
      </c>
      <c r="G18" t="s">
        <v>165</v>
      </c>
      <c r="H18" s="15">
        <v>40000</v>
      </c>
    </row>
    <row r="19" spans="1:8" x14ac:dyDescent="0.3">
      <c r="A19">
        <v>18</v>
      </c>
      <c r="B19" t="s">
        <v>201</v>
      </c>
      <c r="C19" t="s">
        <v>72</v>
      </c>
      <c r="D19" t="s">
        <v>212</v>
      </c>
      <c r="E19" t="s">
        <v>153</v>
      </c>
      <c r="F19" s="12" t="s">
        <v>162</v>
      </c>
      <c r="G19" t="s">
        <v>164</v>
      </c>
      <c r="H19" s="15">
        <v>40000</v>
      </c>
    </row>
    <row r="20" spans="1:8" x14ac:dyDescent="0.3">
      <c r="A20">
        <v>19</v>
      </c>
      <c r="B20" t="s">
        <v>26</v>
      </c>
      <c r="C20" t="s">
        <v>73</v>
      </c>
      <c r="D20" t="s">
        <v>213</v>
      </c>
      <c r="E20" t="s">
        <v>157</v>
      </c>
      <c r="F20" s="12" t="s">
        <v>159</v>
      </c>
      <c r="G20" t="s">
        <v>165</v>
      </c>
      <c r="H20" s="15">
        <v>40000</v>
      </c>
    </row>
    <row r="21" spans="1:8" x14ac:dyDescent="0.3">
      <c r="A21">
        <v>20</v>
      </c>
      <c r="B21" t="s">
        <v>27</v>
      </c>
      <c r="C21" t="s">
        <v>74</v>
      </c>
      <c r="D21" t="s">
        <v>214</v>
      </c>
      <c r="E21" t="s">
        <v>157</v>
      </c>
      <c r="F21" s="12" t="s">
        <v>162</v>
      </c>
      <c r="G21" t="s">
        <v>165</v>
      </c>
      <c r="H21" s="15">
        <v>12500</v>
      </c>
    </row>
    <row r="22" spans="1:8" x14ac:dyDescent="0.3">
      <c r="A22">
        <v>21</v>
      </c>
      <c r="B22" t="s">
        <v>28</v>
      </c>
      <c r="C22" t="s">
        <v>75</v>
      </c>
      <c r="D22" t="s">
        <v>215</v>
      </c>
      <c r="E22" t="s">
        <v>154</v>
      </c>
      <c r="F22" s="12" t="s">
        <v>160</v>
      </c>
      <c r="G22" t="s">
        <v>165</v>
      </c>
      <c r="H22" s="15">
        <v>40000</v>
      </c>
    </row>
    <row r="23" spans="1:8" x14ac:dyDescent="0.3">
      <c r="A23">
        <v>22</v>
      </c>
      <c r="B23" t="s">
        <v>29</v>
      </c>
      <c r="C23" t="s">
        <v>76</v>
      </c>
      <c r="D23" t="s">
        <v>216</v>
      </c>
      <c r="E23" t="s">
        <v>156</v>
      </c>
      <c r="F23" s="12" t="s">
        <v>158</v>
      </c>
      <c r="G23" t="s">
        <v>165</v>
      </c>
      <c r="H23" s="15">
        <v>32000</v>
      </c>
    </row>
    <row r="24" spans="1:8" x14ac:dyDescent="0.3">
      <c r="A24">
        <v>23</v>
      </c>
      <c r="B24" t="s">
        <v>30</v>
      </c>
      <c r="C24" t="s">
        <v>77</v>
      </c>
      <c r="D24" t="s">
        <v>217</v>
      </c>
      <c r="E24" t="s">
        <v>157</v>
      </c>
      <c r="F24" s="12" t="s">
        <v>159</v>
      </c>
      <c r="G24" t="s">
        <v>165</v>
      </c>
      <c r="H24" s="15">
        <v>40000</v>
      </c>
    </row>
    <row r="25" spans="1:8" x14ac:dyDescent="0.3">
      <c r="A25">
        <v>24</v>
      </c>
      <c r="B25" t="s">
        <v>31</v>
      </c>
      <c r="C25" t="s">
        <v>78</v>
      </c>
      <c r="D25" t="s">
        <v>126</v>
      </c>
      <c r="E25" t="s">
        <v>153</v>
      </c>
      <c r="F25" s="12" t="s">
        <v>161</v>
      </c>
      <c r="G25" t="s">
        <v>165</v>
      </c>
      <c r="H25" s="15">
        <v>12500</v>
      </c>
    </row>
    <row r="26" spans="1:8" x14ac:dyDescent="0.3">
      <c r="A26">
        <v>25</v>
      </c>
      <c r="B26" t="s">
        <v>32</v>
      </c>
      <c r="C26" t="s">
        <v>79</v>
      </c>
      <c r="D26" t="s">
        <v>218</v>
      </c>
      <c r="E26" t="s">
        <v>154</v>
      </c>
      <c r="F26" s="12" t="s">
        <v>160</v>
      </c>
      <c r="G26" t="s">
        <v>164</v>
      </c>
      <c r="H26" s="15">
        <v>18500</v>
      </c>
    </row>
    <row r="27" spans="1:8" x14ac:dyDescent="0.3">
      <c r="A27">
        <v>26</v>
      </c>
      <c r="B27" t="s">
        <v>33</v>
      </c>
      <c r="C27" t="s">
        <v>80</v>
      </c>
      <c r="D27" t="s">
        <v>219</v>
      </c>
      <c r="E27" t="s">
        <v>154</v>
      </c>
      <c r="F27" s="12" t="s">
        <v>162</v>
      </c>
      <c r="G27" t="s">
        <v>164</v>
      </c>
      <c r="H27" s="15">
        <v>12500</v>
      </c>
    </row>
    <row r="28" spans="1:8" x14ac:dyDescent="0.3">
      <c r="A28">
        <v>27</v>
      </c>
      <c r="B28" t="s">
        <v>34</v>
      </c>
      <c r="C28" t="s">
        <v>81</v>
      </c>
      <c r="D28" t="s">
        <v>220</v>
      </c>
      <c r="E28" t="s">
        <v>154</v>
      </c>
      <c r="F28" s="12" t="s">
        <v>162</v>
      </c>
      <c r="G28" t="s">
        <v>164</v>
      </c>
      <c r="H28" s="15">
        <v>18500</v>
      </c>
    </row>
    <row r="29" spans="1:8" x14ac:dyDescent="0.3">
      <c r="A29">
        <v>28</v>
      </c>
      <c r="B29" t="s">
        <v>35</v>
      </c>
      <c r="C29" t="s">
        <v>82</v>
      </c>
      <c r="D29" t="s">
        <v>221</v>
      </c>
      <c r="E29" t="s">
        <v>153</v>
      </c>
      <c r="F29" s="12" t="s">
        <v>162</v>
      </c>
      <c r="G29" t="s">
        <v>165</v>
      </c>
      <c r="H29" s="15">
        <v>40000</v>
      </c>
    </row>
    <row r="30" spans="1:8" x14ac:dyDescent="0.3">
      <c r="A30">
        <v>29</v>
      </c>
      <c r="B30" t="s">
        <v>36</v>
      </c>
      <c r="C30" t="s">
        <v>83</v>
      </c>
      <c r="D30" t="s">
        <v>222</v>
      </c>
      <c r="E30" t="s">
        <v>156</v>
      </c>
      <c r="F30" s="12" t="s">
        <v>162</v>
      </c>
      <c r="G30" t="s">
        <v>165</v>
      </c>
      <c r="H30" s="15">
        <v>12500</v>
      </c>
    </row>
    <row r="31" spans="1:8" x14ac:dyDescent="0.3">
      <c r="A31">
        <v>30</v>
      </c>
      <c r="B31" t="s">
        <v>37</v>
      </c>
      <c r="C31" t="s">
        <v>84</v>
      </c>
      <c r="D31" t="s">
        <v>223</v>
      </c>
      <c r="E31" t="s">
        <v>153</v>
      </c>
      <c r="F31" s="12" t="s">
        <v>159</v>
      </c>
      <c r="G31" t="s">
        <v>164</v>
      </c>
      <c r="H31" s="15">
        <v>18500</v>
      </c>
    </row>
    <row r="32" spans="1:8" x14ac:dyDescent="0.3">
      <c r="A32">
        <v>31</v>
      </c>
      <c r="B32" t="s">
        <v>38</v>
      </c>
      <c r="C32" t="s">
        <v>85</v>
      </c>
      <c r="D32" t="s">
        <v>224</v>
      </c>
      <c r="E32" t="s">
        <v>157</v>
      </c>
      <c r="F32" s="12" t="s">
        <v>159</v>
      </c>
      <c r="G32" t="s">
        <v>165</v>
      </c>
      <c r="H32" s="15">
        <v>12500</v>
      </c>
    </row>
    <row r="33" spans="1:8" x14ac:dyDescent="0.3">
      <c r="A33">
        <v>32</v>
      </c>
      <c r="B33" t="s">
        <v>39</v>
      </c>
      <c r="C33" t="s">
        <v>86</v>
      </c>
      <c r="D33" t="s">
        <v>225</v>
      </c>
      <c r="E33" t="s">
        <v>157</v>
      </c>
      <c r="F33" s="12" t="s">
        <v>161</v>
      </c>
      <c r="G33" t="s">
        <v>165</v>
      </c>
      <c r="H33" s="15">
        <v>22000</v>
      </c>
    </row>
    <row r="34" spans="1:8" x14ac:dyDescent="0.3">
      <c r="A34">
        <v>33</v>
      </c>
      <c r="B34" t="s">
        <v>40</v>
      </c>
      <c r="C34" t="s">
        <v>87</v>
      </c>
      <c r="D34" t="s">
        <v>226</v>
      </c>
      <c r="E34" t="s">
        <v>157</v>
      </c>
      <c r="F34" s="12" t="s">
        <v>158</v>
      </c>
      <c r="G34" t="s">
        <v>164</v>
      </c>
      <c r="H34" s="15">
        <v>40000</v>
      </c>
    </row>
    <row r="35" spans="1:8" x14ac:dyDescent="0.3">
      <c r="A35">
        <v>34</v>
      </c>
      <c r="B35" t="s">
        <v>29</v>
      </c>
      <c r="C35" t="s">
        <v>76</v>
      </c>
      <c r="D35" t="s">
        <v>136</v>
      </c>
      <c r="E35" t="s">
        <v>157</v>
      </c>
      <c r="F35" s="12" t="s">
        <v>160</v>
      </c>
      <c r="G35" t="s">
        <v>165</v>
      </c>
      <c r="H35" s="15">
        <v>32000</v>
      </c>
    </row>
    <row r="36" spans="1:8" x14ac:dyDescent="0.3">
      <c r="A36">
        <v>35</v>
      </c>
      <c r="B36" t="s">
        <v>41</v>
      </c>
      <c r="C36" t="s">
        <v>88</v>
      </c>
      <c r="D36" t="s">
        <v>137</v>
      </c>
      <c r="E36" t="s">
        <v>154</v>
      </c>
      <c r="F36" s="12" t="s">
        <v>161</v>
      </c>
      <c r="G36" t="s">
        <v>165</v>
      </c>
      <c r="H36" s="15">
        <v>15000</v>
      </c>
    </row>
    <row r="37" spans="1:8" x14ac:dyDescent="0.3">
      <c r="A37">
        <v>36</v>
      </c>
      <c r="B37" t="s">
        <v>42</v>
      </c>
      <c r="C37" t="s">
        <v>89</v>
      </c>
      <c r="D37" t="s">
        <v>227</v>
      </c>
      <c r="E37" t="s">
        <v>153</v>
      </c>
      <c r="F37" s="12" t="s">
        <v>162</v>
      </c>
      <c r="G37" t="s">
        <v>164</v>
      </c>
      <c r="H37" s="15">
        <v>15000</v>
      </c>
    </row>
    <row r="38" spans="1:8" x14ac:dyDescent="0.3">
      <c r="A38">
        <v>37</v>
      </c>
      <c r="B38" t="s">
        <v>43</v>
      </c>
      <c r="C38" t="s">
        <v>90</v>
      </c>
      <c r="D38" t="s">
        <v>228</v>
      </c>
      <c r="E38" t="s">
        <v>157</v>
      </c>
      <c r="F38" s="12" t="s">
        <v>161</v>
      </c>
      <c r="G38" t="s">
        <v>165</v>
      </c>
      <c r="H38" s="15">
        <v>40000</v>
      </c>
    </row>
    <row r="39" spans="1:8" x14ac:dyDescent="0.3">
      <c r="A39">
        <v>38</v>
      </c>
      <c r="B39" t="s">
        <v>44</v>
      </c>
      <c r="C39" t="s">
        <v>91</v>
      </c>
      <c r="D39" t="s">
        <v>229</v>
      </c>
      <c r="E39" t="s">
        <v>157</v>
      </c>
      <c r="F39" s="12" t="s">
        <v>160</v>
      </c>
      <c r="G39" t="s">
        <v>165</v>
      </c>
      <c r="H39" s="15">
        <v>32000</v>
      </c>
    </row>
    <row r="40" spans="1:8" x14ac:dyDescent="0.3">
      <c r="A40">
        <v>39</v>
      </c>
      <c r="B40" t="s">
        <v>45</v>
      </c>
      <c r="C40" t="s">
        <v>92</v>
      </c>
      <c r="D40" t="s">
        <v>230</v>
      </c>
      <c r="E40" t="s">
        <v>157</v>
      </c>
      <c r="F40" s="12" t="s">
        <v>159</v>
      </c>
      <c r="G40" t="s">
        <v>165</v>
      </c>
      <c r="H40" s="15">
        <v>32000</v>
      </c>
    </row>
    <row r="41" spans="1:8" x14ac:dyDescent="0.3">
      <c r="A41">
        <v>40</v>
      </c>
      <c r="B41" t="s">
        <v>46</v>
      </c>
      <c r="C41" t="s">
        <v>93</v>
      </c>
      <c r="D41" t="s">
        <v>142</v>
      </c>
      <c r="E41" t="s">
        <v>153</v>
      </c>
      <c r="F41" s="12" t="s">
        <v>162</v>
      </c>
      <c r="G41" t="s">
        <v>164</v>
      </c>
      <c r="H41" s="15">
        <v>18500</v>
      </c>
    </row>
    <row r="42" spans="1:8" x14ac:dyDescent="0.3">
      <c r="A42">
        <v>41</v>
      </c>
      <c r="B42" t="s">
        <v>47</v>
      </c>
      <c r="C42" t="s">
        <v>94</v>
      </c>
      <c r="D42" t="s">
        <v>231</v>
      </c>
      <c r="E42" t="s">
        <v>154</v>
      </c>
      <c r="F42" s="12" t="s">
        <v>159</v>
      </c>
      <c r="G42" t="s">
        <v>164</v>
      </c>
      <c r="H42" s="15">
        <v>15000</v>
      </c>
    </row>
    <row r="43" spans="1:8" x14ac:dyDescent="0.3">
      <c r="A43">
        <v>42</v>
      </c>
      <c r="B43" t="s">
        <v>21</v>
      </c>
      <c r="C43" t="s">
        <v>68</v>
      </c>
      <c r="D43" t="s">
        <v>232</v>
      </c>
      <c r="E43" t="s">
        <v>154</v>
      </c>
      <c r="F43" s="12" t="s">
        <v>160</v>
      </c>
      <c r="G43" t="s">
        <v>165</v>
      </c>
      <c r="H43" s="15">
        <v>18500</v>
      </c>
    </row>
    <row r="44" spans="1:8" x14ac:dyDescent="0.3">
      <c r="A44">
        <v>43</v>
      </c>
      <c r="B44" t="s">
        <v>48</v>
      </c>
      <c r="C44" t="s">
        <v>95</v>
      </c>
      <c r="D44" t="s">
        <v>145</v>
      </c>
      <c r="E44" t="s">
        <v>156</v>
      </c>
      <c r="F44" s="12" t="s">
        <v>160</v>
      </c>
      <c r="G44" t="s">
        <v>165</v>
      </c>
      <c r="H44" s="15">
        <v>40000</v>
      </c>
    </row>
    <row r="45" spans="1:8" x14ac:dyDescent="0.3">
      <c r="A45">
        <v>44</v>
      </c>
      <c r="B45" t="s">
        <v>49</v>
      </c>
      <c r="C45" t="s">
        <v>96</v>
      </c>
      <c r="D45" t="s">
        <v>233</v>
      </c>
      <c r="E45" t="s">
        <v>157</v>
      </c>
      <c r="F45" s="12" t="s">
        <v>161</v>
      </c>
      <c r="G45" t="s">
        <v>164</v>
      </c>
      <c r="H45" s="15">
        <v>32000</v>
      </c>
    </row>
    <row r="46" spans="1:8" x14ac:dyDescent="0.3">
      <c r="A46">
        <v>45</v>
      </c>
      <c r="B46" t="s">
        <v>50</v>
      </c>
      <c r="C46" t="s">
        <v>97</v>
      </c>
      <c r="D46" t="s">
        <v>234</v>
      </c>
      <c r="E46" t="s">
        <v>153</v>
      </c>
      <c r="F46" s="12" t="s">
        <v>159</v>
      </c>
      <c r="G46" t="s">
        <v>165</v>
      </c>
      <c r="H46" s="15">
        <v>18500</v>
      </c>
    </row>
    <row r="47" spans="1:8" x14ac:dyDescent="0.3">
      <c r="A47">
        <v>46</v>
      </c>
      <c r="B47" t="s">
        <v>51</v>
      </c>
      <c r="C47" t="s">
        <v>98</v>
      </c>
      <c r="D47" t="s">
        <v>235</v>
      </c>
      <c r="E47" t="s">
        <v>154</v>
      </c>
      <c r="F47" s="12" t="s">
        <v>161</v>
      </c>
      <c r="G47" t="s">
        <v>164</v>
      </c>
      <c r="H47" s="15">
        <v>12500</v>
      </c>
    </row>
    <row r="48" spans="1:8" x14ac:dyDescent="0.3">
      <c r="A48">
        <v>47</v>
      </c>
      <c r="B48" t="s">
        <v>52</v>
      </c>
      <c r="C48" t="s">
        <v>99</v>
      </c>
      <c r="D48" t="s">
        <v>149</v>
      </c>
      <c r="E48" t="s">
        <v>157</v>
      </c>
      <c r="F48" s="12" t="s">
        <v>160</v>
      </c>
      <c r="G48" t="s">
        <v>165</v>
      </c>
      <c r="H48" s="15">
        <v>12500</v>
      </c>
    </row>
    <row r="49" spans="1:8" x14ac:dyDescent="0.3">
      <c r="A49">
        <v>48</v>
      </c>
      <c r="B49" t="s">
        <v>53</v>
      </c>
      <c r="C49" t="s">
        <v>100</v>
      </c>
      <c r="D49" t="s">
        <v>236</v>
      </c>
      <c r="E49" t="s">
        <v>154</v>
      </c>
      <c r="F49" s="12" t="s">
        <v>161</v>
      </c>
      <c r="G49" t="s">
        <v>164</v>
      </c>
      <c r="H49" s="15">
        <v>22000</v>
      </c>
    </row>
    <row r="50" spans="1:8" x14ac:dyDescent="0.3">
      <c r="A50">
        <v>49</v>
      </c>
      <c r="B50" t="s">
        <v>54</v>
      </c>
      <c r="C50" t="s">
        <v>101</v>
      </c>
      <c r="D50" t="s">
        <v>151</v>
      </c>
      <c r="E50" t="s">
        <v>157</v>
      </c>
      <c r="F50" s="12" t="s">
        <v>161</v>
      </c>
      <c r="G50" t="s">
        <v>165</v>
      </c>
      <c r="H50" s="15">
        <v>12500</v>
      </c>
    </row>
    <row r="51" spans="1:8" x14ac:dyDescent="0.3">
      <c r="A51">
        <v>50</v>
      </c>
      <c r="B51" t="s">
        <v>55</v>
      </c>
      <c r="C51" t="s">
        <v>102</v>
      </c>
      <c r="D51" t="s">
        <v>237</v>
      </c>
      <c r="E51" t="s">
        <v>157</v>
      </c>
      <c r="F51" s="12" t="s">
        <v>162</v>
      </c>
      <c r="G51" t="s">
        <v>164</v>
      </c>
      <c r="H51" s="15">
        <v>40000</v>
      </c>
    </row>
  </sheetData>
  <conditionalFormatting sqref="C13">
    <cfRule type="containsBlanks" dxfId="4" priority="1">
      <formula>LEN(TRIM(C13))=0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workbookViewId="0"/>
  </sheetViews>
  <sheetFormatPr defaultRowHeight="14.4" x14ac:dyDescent="0.3"/>
  <cols>
    <col min="1" max="1" width="14.109375" bestFit="1" customWidth="1"/>
    <col min="2" max="2" width="19.6640625" bestFit="1" customWidth="1"/>
    <col min="3" max="3" width="27.5546875" bestFit="1" customWidth="1"/>
    <col min="4" max="4" width="18.77734375" customWidth="1"/>
    <col min="5" max="5" width="19.88671875" customWidth="1"/>
    <col min="6" max="6" width="17.33203125" customWidth="1"/>
    <col min="7" max="7" width="15.21875" customWidth="1"/>
    <col min="8" max="8" width="17.21875" bestFit="1" customWidth="1"/>
  </cols>
  <sheetData>
    <row r="1" spans="1:8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 x14ac:dyDescent="0.3">
      <c r="A2">
        <v>1</v>
      </c>
      <c r="B2" t="s">
        <v>8</v>
      </c>
      <c r="C2" t="s">
        <v>56</v>
      </c>
      <c r="D2" t="s">
        <v>103</v>
      </c>
      <c r="E2" t="s">
        <v>153</v>
      </c>
      <c r="F2" t="s">
        <v>158</v>
      </c>
      <c r="G2" t="s">
        <v>163</v>
      </c>
      <c r="H2">
        <v>22000</v>
      </c>
    </row>
    <row r="3" spans="1:8" x14ac:dyDescent="0.3">
      <c r="A3">
        <v>2</v>
      </c>
      <c r="B3" t="s">
        <v>9</v>
      </c>
      <c r="C3" t="s">
        <v>57</v>
      </c>
      <c r="D3" t="s">
        <v>104</v>
      </c>
      <c r="E3" t="s">
        <v>153</v>
      </c>
      <c r="F3" t="s">
        <v>159</v>
      </c>
      <c r="G3" t="s">
        <v>164</v>
      </c>
      <c r="H3">
        <v>40000</v>
      </c>
    </row>
    <row r="4" spans="1:8" x14ac:dyDescent="0.3">
      <c r="A4">
        <v>3</v>
      </c>
      <c r="B4" t="s">
        <v>10</v>
      </c>
      <c r="C4" t="s">
        <v>58</v>
      </c>
      <c r="D4" t="s">
        <v>105</v>
      </c>
      <c r="E4" t="s">
        <v>154</v>
      </c>
      <c r="F4" t="s">
        <v>160</v>
      </c>
      <c r="G4" t="s">
        <v>163</v>
      </c>
      <c r="H4">
        <v>18500</v>
      </c>
    </row>
    <row r="5" spans="1:8" x14ac:dyDescent="0.3">
      <c r="A5">
        <v>4</v>
      </c>
      <c r="B5" t="s">
        <v>11</v>
      </c>
      <c r="C5" t="s">
        <v>59</v>
      </c>
      <c r="D5" t="s">
        <v>106</v>
      </c>
      <c r="E5" t="s">
        <v>155</v>
      </c>
      <c r="F5" t="s">
        <v>160</v>
      </c>
      <c r="G5" t="s">
        <v>165</v>
      </c>
      <c r="H5">
        <v>12500</v>
      </c>
    </row>
    <row r="6" spans="1:8" x14ac:dyDescent="0.3">
      <c r="A6">
        <v>5</v>
      </c>
      <c r="B6" t="s">
        <v>12</v>
      </c>
      <c r="C6" t="s">
        <v>60</v>
      </c>
      <c r="D6" t="s">
        <v>107</v>
      </c>
      <c r="E6" t="s">
        <v>154</v>
      </c>
      <c r="F6" t="s">
        <v>161</v>
      </c>
      <c r="G6" t="s">
        <v>163</v>
      </c>
      <c r="H6">
        <v>32000</v>
      </c>
    </row>
    <row r="7" spans="1:8" x14ac:dyDescent="0.3">
      <c r="A7">
        <v>6</v>
      </c>
      <c r="B7" t="s">
        <v>13</v>
      </c>
      <c r="C7" t="s">
        <v>61</v>
      </c>
      <c r="D7" t="s">
        <v>108</v>
      </c>
      <c r="E7" t="s">
        <v>156</v>
      </c>
      <c r="F7" t="s">
        <v>158</v>
      </c>
      <c r="G7" t="s">
        <v>164</v>
      </c>
      <c r="H7">
        <v>15000</v>
      </c>
    </row>
    <row r="8" spans="1:8" x14ac:dyDescent="0.3">
      <c r="A8">
        <v>7</v>
      </c>
      <c r="B8" t="s">
        <v>14</v>
      </c>
      <c r="C8" t="s">
        <v>62</v>
      </c>
      <c r="D8" t="s">
        <v>109</v>
      </c>
      <c r="E8" t="s">
        <v>155</v>
      </c>
      <c r="F8" t="s">
        <v>162</v>
      </c>
      <c r="G8" t="s">
        <v>163</v>
      </c>
      <c r="H8">
        <v>25000</v>
      </c>
    </row>
    <row r="9" spans="1:8" x14ac:dyDescent="0.3">
      <c r="A9">
        <v>8</v>
      </c>
      <c r="B9" t="s">
        <v>15</v>
      </c>
      <c r="C9" t="s">
        <v>63</v>
      </c>
      <c r="D9" t="s">
        <v>110</v>
      </c>
      <c r="E9" t="s">
        <v>153</v>
      </c>
      <c r="F9" t="s">
        <v>161</v>
      </c>
      <c r="G9" t="s">
        <v>165</v>
      </c>
      <c r="H9">
        <v>25000</v>
      </c>
    </row>
    <row r="10" spans="1:8" x14ac:dyDescent="0.3">
      <c r="A10">
        <v>9</v>
      </c>
      <c r="B10" t="s">
        <v>16</v>
      </c>
      <c r="C10" t="s">
        <v>64</v>
      </c>
      <c r="D10" t="s">
        <v>111</v>
      </c>
      <c r="E10" t="s">
        <v>157</v>
      </c>
      <c r="F10" t="s">
        <v>161</v>
      </c>
      <c r="G10" t="s">
        <v>166</v>
      </c>
      <c r="H10">
        <v>25000</v>
      </c>
    </row>
    <row r="11" spans="1:8" x14ac:dyDescent="0.3">
      <c r="A11">
        <v>10</v>
      </c>
      <c r="B11" t="s">
        <v>17</v>
      </c>
      <c r="C11" t="s">
        <v>65</v>
      </c>
      <c r="D11" t="s">
        <v>112</v>
      </c>
      <c r="E11" t="s">
        <v>157</v>
      </c>
      <c r="F11" t="s">
        <v>160</v>
      </c>
      <c r="G11" t="s">
        <v>164</v>
      </c>
      <c r="H11">
        <v>18500</v>
      </c>
    </row>
    <row r="12" spans="1:8" x14ac:dyDescent="0.3">
      <c r="A12">
        <v>11</v>
      </c>
      <c r="B12" t="s">
        <v>18</v>
      </c>
      <c r="C12" t="s">
        <v>66</v>
      </c>
      <c r="D12" t="s">
        <v>113</v>
      </c>
      <c r="E12" t="s">
        <v>155</v>
      </c>
      <c r="F12" t="s">
        <v>162</v>
      </c>
      <c r="G12" t="s">
        <v>164</v>
      </c>
      <c r="H12">
        <v>15000</v>
      </c>
    </row>
    <row r="13" spans="1:8" x14ac:dyDescent="0.3">
      <c r="A13">
        <v>12</v>
      </c>
      <c r="B13" t="s">
        <v>19</v>
      </c>
      <c r="D13" t="s">
        <v>114</v>
      </c>
      <c r="E13" t="s">
        <v>157</v>
      </c>
      <c r="F13" t="s">
        <v>158</v>
      </c>
      <c r="G13" t="s">
        <v>165</v>
      </c>
      <c r="H13">
        <v>22000</v>
      </c>
    </row>
    <row r="14" spans="1:8" x14ac:dyDescent="0.3">
      <c r="A14">
        <v>13</v>
      </c>
      <c r="B14" t="s">
        <v>20</v>
      </c>
      <c r="C14" t="s">
        <v>67</v>
      </c>
      <c r="D14" t="s">
        <v>115</v>
      </c>
      <c r="E14" t="s">
        <v>157</v>
      </c>
      <c r="F14" t="s">
        <v>162</v>
      </c>
      <c r="G14" t="s">
        <v>166</v>
      </c>
      <c r="H14">
        <v>22000</v>
      </c>
    </row>
    <row r="15" spans="1:8" x14ac:dyDescent="0.3">
      <c r="A15">
        <v>14</v>
      </c>
      <c r="B15" t="s">
        <v>21</v>
      </c>
      <c r="C15" t="s">
        <v>68</v>
      </c>
      <c r="D15" t="s">
        <v>116</v>
      </c>
      <c r="E15" t="s">
        <v>155</v>
      </c>
      <c r="F15" t="s">
        <v>161</v>
      </c>
      <c r="G15" t="s">
        <v>166</v>
      </c>
      <c r="H15">
        <v>12500</v>
      </c>
    </row>
    <row r="16" spans="1:8" x14ac:dyDescent="0.3">
      <c r="A16">
        <v>15</v>
      </c>
      <c r="B16" t="s">
        <v>22</v>
      </c>
      <c r="C16" t="s">
        <v>69</v>
      </c>
      <c r="D16" t="s">
        <v>117</v>
      </c>
      <c r="E16" t="s">
        <v>154</v>
      </c>
      <c r="F16" t="s">
        <v>162</v>
      </c>
      <c r="G16" t="s">
        <v>166</v>
      </c>
      <c r="H16">
        <v>32000</v>
      </c>
    </row>
    <row r="17" spans="1:8" x14ac:dyDescent="0.3">
      <c r="A17">
        <v>16</v>
      </c>
      <c r="B17" t="s">
        <v>23</v>
      </c>
      <c r="C17" t="s">
        <v>70</v>
      </c>
      <c r="D17" t="s">
        <v>118</v>
      </c>
      <c r="E17" t="s">
        <v>153</v>
      </c>
      <c r="F17" t="s">
        <v>162</v>
      </c>
      <c r="G17" t="s">
        <v>164</v>
      </c>
      <c r="H17">
        <v>25000</v>
      </c>
    </row>
    <row r="18" spans="1:8" x14ac:dyDescent="0.3">
      <c r="A18">
        <v>17</v>
      </c>
      <c r="B18" t="s">
        <v>24</v>
      </c>
      <c r="C18" t="s">
        <v>71</v>
      </c>
      <c r="D18" t="s">
        <v>119</v>
      </c>
      <c r="E18" t="s">
        <v>154</v>
      </c>
      <c r="F18" t="s">
        <v>158</v>
      </c>
      <c r="G18" t="s">
        <v>165</v>
      </c>
      <c r="H18">
        <v>40000</v>
      </c>
    </row>
    <row r="19" spans="1:8" x14ac:dyDescent="0.3">
      <c r="A19">
        <v>18</v>
      </c>
      <c r="B19" t="s">
        <v>25</v>
      </c>
      <c r="C19" t="s">
        <v>72</v>
      </c>
      <c r="D19" t="s">
        <v>120</v>
      </c>
      <c r="E19" t="s">
        <v>153</v>
      </c>
      <c r="F19" t="s">
        <v>162</v>
      </c>
      <c r="G19" t="s">
        <v>164</v>
      </c>
      <c r="H19">
        <v>40000</v>
      </c>
    </row>
    <row r="20" spans="1:8" x14ac:dyDescent="0.3">
      <c r="A20">
        <v>19</v>
      </c>
      <c r="B20" t="s">
        <v>26</v>
      </c>
      <c r="C20" t="s">
        <v>73</v>
      </c>
      <c r="D20" t="s">
        <v>121</v>
      </c>
      <c r="E20" t="s">
        <v>157</v>
      </c>
      <c r="F20" t="s">
        <v>159</v>
      </c>
      <c r="G20" t="s">
        <v>165</v>
      </c>
      <c r="H20">
        <v>40000</v>
      </c>
    </row>
    <row r="21" spans="1:8" x14ac:dyDescent="0.3">
      <c r="A21">
        <v>20</v>
      </c>
      <c r="B21" t="s">
        <v>27</v>
      </c>
      <c r="C21" t="s">
        <v>74</v>
      </c>
      <c r="D21" t="s">
        <v>122</v>
      </c>
      <c r="E21" t="s">
        <v>157</v>
      </c>
      <c r="F21" t="s">
        <v>162</v>
      </c>
      <c r="G21" t="s">
        <v>165</v>
      </c>
      <c r="H21">
        <v>12500</v>
      </c>
    </row>
    <row r="22" spans="1:8" x14ac:dyDescent="0.3">
      <c r="A22">
        <v>21</v>
      </c>
      <c r="B22" t="s">
        <v>28</v>
      </c>
      <c r="C22" t="s">
        <v>75</v>
      </c>
      <c r="D22" t="s">
        <v>123</v>
      </c>
      <c r="E22" t="s">
        <v>154</v>
      </c>
      <c r="F22" t="s">
        <v>160</v>
      </c>
      <c r="G22" t="s">
        <v>166</v>
      </c>
      <c r="H22">
        <v>40000</v>
      </c>
    </row>
    <row r="23" spans="1:8" x14ac:dyDescent="0.3">
      <c r="A23">
        <v>22</v>
      </c>
      <c r="B23" t="s">
        <v>29</v>
      </c>
      <c r="C23" t="s">
        <v>76</v>
      </c>
      <c r="D23" t="s">
        <v>124</v>
      </c>
      <c r="E23" t="s">
        <v>156</v>
      </c>
      <c r="F23" t="s">
        <v>158</v>
      </c>
      <c r="G23" t="s">
        <v>165</v>
      </c>
      <c r="H23">
        <v>32000</v>
      </c>
    </row>
    <row r="24" spans="1:8" x14ac:dyDescent="0.3">
      <c r="A24">
        <v>23</v>
      </c>
      <c r="B24" t="s">
        <v>30</v>
      </c>
      <c r="C24" t="s">
        <v>77</v>
      </c>
      <c r="D24" t="s">
        <v>125</v>
      </c>
      <c r="E24" t="s">
        <v>157</v>
      </c>
      <c r="F24" t="s">
        <v>159</v>
      </c>
      <c r="G24" t="s">
        <v>165</v>
      </c>
      <c r="H24">
        <v>40000</v>
      </c>
    </row>
    <row r="25" spans="1:8" x14ac:dyDescent="0.3">
      <c r="A25">
        <v>24</v>
      </c>
      <c r="B25" t="s">
        <v>31</v>
      </c>
      <c r="C25" t="s">
        <v>78</v>
      </c>
      <c r="D25" t="s">
        <v>126</v>
      </c>
      <c r="E25" t="s">
        <v>153</v>
      </c>
      <c r="F25" t="s">
        <v>161</v>
      </c>
      <c r="G25" t="s">
        <v>165</v>
      </c>
      <c r="H25">
        <v>12500</v>
      </c>
    </row>
    <row r="26" spans="1:8" x14ac:dyDescent="0.3">
      <c r="A26">
        <v>25</v>
      </c>
      <c r="B26" t="s">
        <v>32</v>
      </c>
      <c r="C26" t="s">
        <v>79</v>
      </c>
      <c r="D26" t="s">
        <v>127</v>
      </c>
      <c r="E26" t="s">
        <v>154</v>
      </c>
      <c r="F26" t="s">
        <v>160</v>
      </c>
      <c r="G26" t="s">
        <v>163</v>
      </c>
      <c r="H26">
        <v>18500</v>
      </c>
    </row>
    <row r="27" spans="1:8" x14ac:dyDescent="0.3">
      <c r="A27">
        <v>26</v>
      </c>
      <c r="B27" t="s">
        <v>33</v>
      </c>
      <c r="C27" t="s">
        <v>80</v>
      </c>
      <c r="D27" t="s">
        <v>128</v>
      </c>
      <c r="E27" t="s">
        <v>154</v>
      </c>
      <c r="F27" t="s">
        <v>162</v>
      </c>
      <c r="G27" t="s">
        <v>163</v>
      </c>
      <c r="H27">
        <v>12500</v>
      </c>
    </row>
    <row r="28" spans="1:8" x14ac:dyDescent="0.3">
      <c r="A28">
        <v>27</v>
      </c>
      <c r="B28" t="s">
        <v>34</v>
      </c>
      <c r="C28" t="s">
        <v>81</v>
      </c>
      <c r="D28" t="s">
        <v>129</v>
      </c>
      <c r="E28" t="s">
        <v>154</v>
      </c>
      <c r="F28" t="s">
        <v>162</v>
      </c>
      <c r="G28" t="s">
        <v>164</v>
      </c>
      <c r="H28">
        <v>18500</v>
      </c>
    </row>
    <row r="29" spans="1:8" x14ac:dyDescent="0.3">
      <c r="A29">
        <v>28</v>
      </c>
      <c r="B29" t="s">
        <v>35</v>
      </c>
      <c r="C29" t="s">
        <v>82</v>
      </c>
      <c r="D29" t="s">
        <v>130</v>
      </c>
      <c r="E29" t="s">
        <v>153</v>
      </c>
      <c r="F29" t="s">
        <v>162</v>
      </c>
      <c r="G29" t="s">
        <v>166</v>
      </c>
      <c r="H29">
        <v>40000</v>
      </c>
    </row>
    <row r="30" spans="1:8" x14ac:dyDescent="0.3">
      <c r="A30">
        <v>29</v>
      </c>
      <c r="B30" t="s">
        <v>36</v>
      </c>
      <c r="C30" t="s">
        <v>83</v>
      </c>
      <c r="D30" t="s">
        <v>131</v>
      </c>
      <c r="E30" t="s">
        <v>156</v>
      </c>
      <c r="F30" t="s">
        <v>162</v>
      </c>
      <c r="G30" t="s">
        <v>166</v>
      </c>
      <c r="H30">
        <v>12500</v>
      </c>
    </row>
    <row r="31" spans="1:8" x14ac:dyDescent="0.3">
      <c r="A31">
        <v>30</v>
      </c>
      <c r="B31" t="s">
        <v>37</v>
      </c>
      <c r="C31" t="s">
        <v>84</v>
      </c>
      <c r="D31" t="s">
        <v>132</v>
      </c>
      <c r="E31" t="s">
        <v>155</v>
      </c>
      <c r="F31" t="s">
        <v>159</v>
      </c>
      <c r="G31" t="s">
        <v>163</v>
      </c>
      <c r="H31">
        <v>18500</v>
      </c>
    </row>
    <row r="32" spans="1:8" x14ac:dyDescent="0.3">
      <c r="A32">
        <v>31</v>
      </c>
      <c r="B32" t="s">
        <v>38</v>
      </c>
      <c r="C32" t="s">
        <v>85</v>
      </c>
      <c r="D32" t="s">
        <v>133</v>
      </c>
      <c r="E32" t="s">
        <v>157</v>
      </c>
      <c r="F32" t="s">
        <v>159</v>
      </c>
      <c r="G32" t="s">
        <v>165</v>
      </c>
      <c r="H32">
        <v>12500</v>
      </c>
    </row>
    <row r="33" spans="1:8" x14ac:dyDescent="0.3">
      <c r="A33">
        <v>32</v>
      </c>
      <c r="B33" t="s">
        <v>39</v>
      </c>
      <c r="C33" t="s">
        <v>86</v>
      </c>
      <c r="D33" t="s">
        <v>134</v>
      </c>
      <c r="E33" t="s">
        <v>157</v>
      </c>
      <c r="F33" t="s">
        <v>161</v>
      </c>
      <c r="G33" t="s">
        <v>166</v>
      </c>
      <c r="H33">
        <v>22000</v>
      </c>
    </row>
    <row r="34" spans="1:8" x14ac:dyDescent="0.3">
      <c r="A34">
        <v>33</v>
      </c>
      <c r="B34" t="s">
        <v>40</v>
      </c>
      <c r="C34" t="s">
        <v>87</v>
      </c>
      <c r="D34" t="s">
        <v>135</v>
      </c>
      <c r="E34" t="s">
        <v>157</v>
      </c>
      <c r="F34" t="s">
        <v>158</v>
      </c>
      <c r="G34" t="s">
        <v>164</v>
      </c>
      <c r="H34">
        <v>40000</v>
      </c>
    </row>
    <row r="35" spans="1:8" x14ac:dyDescent="0.3">
      <c r="A35">
        <v>34</v>
      </c>
      <c r="B35" t="s">
        <v>29</v>
      </c>
      <c r="C35" t="s">
        <v>76</v>
      </c>
      <c r="D35" t="s">
        <v>136</v>
      </c>
      <c r="E35" t="s">
        <v>157</v>
      </c>
      <c r="F35" t="s">
        <v>160</v>
      </c>
      <c r="G35" t="s">
        <v>165</v>
      </c>
      <c r="H35">
        <v>32000</v>
      </c>
    </row>
    <row r="36" spans="1:8" x14ac:dyDescent="0.3">
      <c r="A36">
        <v>35</v>
      </c>
      <c r="B36" t="s">
        <v>41</v>
      </c>
      <c r="C36" t="s">
        <v>88</v>
      </c>
      <c r="D36" t="s">
        <v>137</v>
      </c>
      <c r="E36" t="s">
        <v>154</v>
      </c>
      <c r="F36" t="s">
        <v>161</v>
      </c>
      <c r="G36" t="s">
        <v>166</v>
      </c>
      <c r="H36">
        <v>15000</v>
      </c>
    </row>
    <row r="37" spans="1:8" x14ac:dyDescent="0.3">
      <c r="A37">
        <v>36</v>
      </c>
      <c r="B37" t="s">
        <v>42</v>
      </c>
      <c r="C37" t="s">
        <v>89</v>
      </c>
      <c r="D37" t="s">
        <v>138</v>
      </c>
      <c r="E37" t="s">
        <v>153</v>
      </c>
      <c r="F37" t="s">
        <v>162</v>
      </c>
      <c r="G37" t="s">
        <v>163</v>
      </c>
      <c r="H37">
        <v>15000</v>
      </c>
    </row>
    <row r="38" spans="1:8" x14ac:dyDescent="0.3">
      <c r="A38">
        <v>37</v>
      </c>
      <c r="B38" t="s">
        <v>43</v>
      </c>
      <c r="C38" t="s">
        <v>90</v>
      </c>
      <c r="D38" t="s">
        <v>139</v>
      </c>
      <c r="E38" t="s">
        <v>157</v>
      </c>
      <c r="F38" t="s">
        <v>161</v>
      </c>
      <c r="G38" t="s">
        <v>166</v>
      </c>
      <c r="H38">
        <v>40000</v>
      </c>
    </row>
    <row r="39" spans="1:8" x14ac:dyDescent="0.3">
      <c r="A39">
        <v>38</v>
      </c>
      <c r="B39" t="s">
        <v>44</v>
      </c>
      <c r="C39" t="s">
        <v>91</v>
      </c>
      <c r="D39" t="s">
        <v>140</v>
      </c>
      <c r="E39" t="s">
        <v>157</v>
      </c>
      <c r="F39" t="s">
        <v>160</v>
      </c>
      <c r="G39" t="s">
        <v>165</v>
      </c>
      <c r="H39">
        <v>32000</v>
      </c>
    </row>
    <row r="40" spans="1:8" x14ac:dyDescent="0.3">
      <c r="A40">
        <v>39</v>
      </c>
      <c r="B40" t="s">
        <v>45</v>
      </c>
      <c r="C40" t="s">
        <v>92</v>
      </c>
      <c r="D40" t="s">
        <v>141</v>
      </c>
      <c r="E40" t="s">
        <v>157</v>
      </c>
      <c r="F40" t="s">
        <v>159</v>
      </c>
      <c r="G40" t="s">
        <v>166</v>
      </c>
      <c r="H40">
        <v>32000</v>
      </c>
    </row>
    <row r="41" spans="1:8" x14ac:dyDescent="0.3">
      <c r="A41">
        <v>40</v>
      </c>
      <c r="B41" t="s">
        <v>46</v>
      </c>
      <c r="C41" t="s">
        <v>93</v>
      </c>
      <c r="D41" t="s">
        <v>142</v>
      </c>
      <c r="E41" t="s">
        <v>153</v>
      </c>
      <c r="F41" t="s">
        <v>162</v>
      </c>
      <c r="G41" t="s">
        <v>163</v>
      </c>
      <c r="H41">
        <v>18500</v>
      </c>
    </row>
    <row r="42" spans="1:8" x14ac:dyDescent="0.3">
      <c r="A42">
        <v>41</v>
      </c>
      <c r="B42" t="s">
        <v>47</v>
      </c>
      <c r="C42" t="s">
        <v>94</v>
      </c>
      <c r="D42" t="s">
        <v>143</v>
      </c>
      <c r="E42" t="s">
        <v>154</v>
      </c>
      <c r="F42" t="s">
        <v>159</v>
      </c>
      <c r="G42" t="s">
        <v>163</v>
      </c>
      <c r="H42">
        <v>15000</v>
      </c>
    </row>
    <row r="43" spans="1:8" x14ac:dyDescent="0.3">
      <c r="A43">
        <v>42</v>
      </c>
      <c r="B43" t="s">
        <v>21</v>
      </c>
      <c r="C43" t="s">
        <v>68</v>
      </c>
      <c r="D43" t="s">
        <v>144</v>
      </c>
      <c r="E43" t="s">
        <v>154</v>
      </c>
      <c r="F43" t="s">
        <v>160</v>
      </c>
      <c r="G43" t="s">
        <v>166</v>
      </c>
      <c r="H43">
        <v>18500</v>
      </c>
    </row>
    <row r="44" spans="1:8" x14ac:dyDescent="0.3">
      <c r="A44">
        <v>43</v>
      </c>
      <c r="B44" t="s">
        <v>48</v>
      </c>
      <c r="C44" t="s">
        <v>95</v>
      </c>
      <c r="D44" t="s">
        <v>145</v>
      </c>
      <c r="E44" t="s">
        <v>156</v>
      </c>
      <c r="F44" t="s">
        <v>160</v>
      </c>
      <c r="G44" t="s">
        <v>165</v>
      </c>
      <c r="H44">
        <v>40000</v>
      </c>
    </row>
    <row r="45" spans="1:8" x14ac:dyDescent="0.3">
      <c r="A45">
        <v>44</v>
      </c>
      <c r="B45" t="s">
        <v>49</v>
      </c>
      <c r="C45" t="s">
        <v>96</v>
      </c>
      <c r="D45" t="s">
        <v>146</v>
      </c>
      <c r="E45" t="s">
        <v>157</v>
      </c>
      <c r="F45" t="s">
        <v>161</v>
      </c>
      <c r="G45" t="s">
        <v>163</v>
      </c>
      <c r="H45">
        <v>32000</v>
      </c>
    </row>
    <row r="46" spans="1:8" x14ac:dyDescent="0.3">
      <c r="A46">
        <v>45</v>
      </c>
      <c r="B46" t="s">
        <v>50</v>
      </c>
      <c r="C46" t="s">
        <v>97</v>
      </c>
      <c r="D46" t="s">
        <v>147</v>
      </c>
      <c r="E46" t="s">
        <v>153</v>
      </c>
      <c r="F46" t="s">
        <v>159</v>
      </c>
      <c r="G46" t="s">
        <v>166</v>
      </c>
      <c r="H46">
        <v>18500</v>
      </c>
    </row>
    <row r="47" spans="1:8" x14ac:dyDescent="0.3">
      <c r="A47">
        <v>46</v>
      </c>
      <c r="B47" t="s">
        <v>51</v>
      </c>
      <c r="C47" t="s">
        <v>98</v>
      </c>
      <c r="D47" t="s">
        <v>148</v>
      </c>
      <c r="E47" t="s">
        <v>154</v>
      </c>
      <c r="F47" t="s">
        <v>161</v>
      </c>
      <c r="G47" t="s">
        <v>163</v>
      </c>
      <c r="H47">
        <v>12500</v>
      </c>
    </row>
    <row r="48" spans="1:8" x14ac:dyDescent="0.3">
      <c r="A48">
        <v>47</v>
      </c>
      <c r="B48" t="s">
        <v>52</v>
      </c>
      <c r="C48" t="s">
        <v>99</v>
      </c>
      <c r="D48" t="s">
        <v>149</v>
      </c>
      <c r="E48" t="s">
        <v>157</v>
      </c>
      <c r="F48" t="s">
        <v>160</v>
      </c>
      <c r="G48" t="s">
        <v>165</v>
      </c>
      <c r="H48">
        <v>12500</v>
      </c>
    </row>
    <row r="49" spans="1:8" x14ac:dyDescent="0.3">
      <c r="A49">
        <v>48</v>
      </c>
      <c r="B49" t="s">
        <v>53</v>
      </c>
      <c r="C49" t="s">
        <v>100</v>
      </c>
      <c r="D49" t="s">
        <v>150</v>
      </c>
      <c r="E49" t="s">
        <v>154</v>
      </c>
      <c r="F49" t="s">
        <v>161</v>
      </c>
      <c r="G49" t="s">
        <v>164</v>
      </c>
      <c r="H49">
        <v>22000</v>
      </c>
    </row>
    <row r="50" spans="1:8" x14ac:dyDescent="0.3">
      <c r="A50">
        <v>49</v>
      </c>
      <c r="B50" t="s">
        <v>54</v>
      </c>
      <c r="C50" t="s">
        <v>101</v>
      </c>
      <c r="D50" t="s">
        <v>151</v>
      </c>
      <c r="E50" t="s">
        <v>157</v>
      </c>
      <c r="F50" t="s">
        <v>161</v>
      </c>
      <c r="G50" t="s">
        <v>166</v>
      </c>
      <c r="H50">
        <v>12500</v>
      </c>
    </row>
    <row r="51" spans="1:8" x14ac:dyDescent="0.3">
      <c r="A51">
        <v>50</v>
      </c>
      <c r="B51" t="s">
        <v>55</v>
      </c>
      <c r="C51" t="s">
        <v>102</v>
      </c>
      <c r="D51" t="s">
        <v>152</v>
      </c>
      <c r="E51" t="s">
        <v>157</v>
      </c>
      <c r="F51" t="s">
        <v>162</v>
      </c>
      <c r="G51" t="s">
        <v>164</v>
      </c>
      <c r="H51">
        <v>40000</v>
      </c>
    </row>
    <row r="52" spans="1:8" x14ac:dyDescent="0.3">
      <c r="A52">
        <v>10</v>
      </c>
      <c r="B52" t="s">
        <v>17</v>
      </c>
      <c r="C52" t="s">
        <v>65</v>
      </c>
      <c r="D52" t="s">
        <v>112</v>
      </c>
      <c r="E52" t="s">
        <v>157</v>
      </c>
      <c r="F52" t="s">
        <v>160</v>
      </c>
      <c r="G52" t="s">
        <v>164</v>
      </c>
      <c r="H52">
        <v>18500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4CEDF-54EE-4B24-9ADB-2027BA3A32DA}">
  <dimension ref="A1:M51"/>
  <sheetViews>
    <sheetView workbookViewId="0"/>
  </sheetViews>
  <sheetFormatPr defaultRowHeight="14.4" x14ac:dyDescent="0.3"/>
  <cols>
    <col min="1" max="1" width="11.33203125" customWidth="1"/>
    <col min="2" max="3" width="22.5546875" customWidth="1"/>
    <col min="4" max="4" width="32.88671875" customWidth="1"/>
    <col min="5" max="5" width="23.5546875" customWidth="1"/>
    <col min="6" max="6" width="19.44140625" customWidth="1"/>
    <col min="7" max="8" width="20.88671875" customWidth="1"/>
    <col min="9" max="9" width="15" customWidth="1"/>
    <col min="10" max="11" width="15.6640625" customWidth="1"/>
    <col min="12" max="12" width="14.44140625" customWidth="1"/>
    <col min="13" max="13" width="33" customWidth="1"/>
  </cols>
  <sheetData>
    <row r="1" spans="1:13" x14ac:dyDescent="0.3">
      <c r="A1" s="1" t="s">
        <v>0</v>
      </c>
      <c r="B1" s="1" t="s">
        <v>1</v>
      </c>
      <c r="C1" s="1" t="s">
        <v>172</v>
      </c>
      <c r="D1" s="1" t="s">
        <v>2</v>
      </c>
      <c r="E1" s="1" t="s">
        <v>3</v>
      </c>
      <c r="F1" s="1" t="s">
        <v>169</v>
      </c>
      <c r="G1" s="1" t="s">
        <v>4</v>
      </c>
      <c r="H1" s="1" t="s">
        <v>170</v>
      </c>
      <c r="I1" s="1" t="s">
        <v>5</v>
      </c>
      <c r="J1" s="1" t="s">
        <v>6</v>
      </c>
      <c r="K1" s="1" t="s">
        <v>171</v>
      </c>
      <c r="L1" s="1" t="s">
        <v>7</v>
      </c>
      <c r="M1" s="7" t="s">
        <v>167</v>
      </c>
    </row>
    <row r="2" spans="1:13" x14ac:dyDescent="0.3">
      <c r="A2">
        <v>1</v>
      </c>
      <c r="B2" t="s">
        <v>8</v>
      </c>
      <c r="C2" t="str">
        <f t="shared" ref="C2:C33" si="0">PROPER(TRIM(B2))</f>
        <v>Daniel Okafor</v>
      </c>
      <c r="D2" t="s">
        <v>56</v>
      </c>
      <c r="E2" t="s">
        <v>103</v>
      </c>
      <c r="F2" t="str">
        <f t="shared" ref="F2:F33" si="1">IF(LEFT(E2,4)="+234","0"&amp;MID(E2,5,10),SUBSTITUTE(E2,"-",""))</f>
        <v>08072117550</v>
      </c>
      <c r="G2" t="s">
        <v>153</v>
      </c>
      <c r="H2" t="str">
        <f>PROPER(G2)</f>
        <v>Sales</v>
      </c>
      <c r="I2" t="s">
        <v>158</v>
      </c>
      <c r="J2" t="s">
        <v>163</v>
      </c>
      <c r="K2" t="str">
        <f>PROPER(TRIM(J2))</f>
        <v>Pending</v>
      </c>
      <c r="L2">
        <v>22000</v>
      </c>
    </row>
    <row r="3" spans="1:13" x14ac:dyDescent="0.3">
      <c r="A3">
        <v>2</v>
      </c>
      <c r="B3" t="s">
        <v>9</v>
      </c>
      <c r="C3" t="str">
        <f t="shared" si="0"/>
        <v>Michael Onyeka</v>
      </c>
      <c r="D3" t="s">
        <v>57</v>
      </c>
      <c r="E3" t="s">
        <v>104</v>
      </c>
      <c r="F3" t="str">
        <f t="shared" si="1"/>
        <v>08083481367</v>
      </c>
      <c r="G3" t="s">
        <v>153</v>
      </c>
      <c r="H3" t="str">
        <f t="shared" ref="H3:H51" si="2">PROPER(G3)</f>
        <v>Sales</v>
      </c>
      <c r="I3" t="s">
        <v>159</v>
      </c>
      <c r="J3" t="s">
        <v>164</v>
      </c>
      <c r="K3" t="str">
        <f t="shared" ref="K3:K51" si="3">PROPER(TRIM(J3))</f>
        <v>Pending</v>
      </c>
      <c r="L3">
        <v>40000</v>
      </c>
    </row>
    <row r="4" spans="1:13" x14ac:dyDescent="0.3">
      <c r="A4">
        <v>3</v>
      </c>
      <c r="B4" t="s">
        <v>10</v>
      </c>
      <c r="C4" t="str">
        <f>PROPER(TRIM(B4))</f>
        <v>Samuel Obi</v>
      </c>
      <c r="D4" t="s">
        <v>58</v>
      </c>
      <c r="E4" t="s">
        <v>105</v>
      </c>
      <c r="F4" t="str">
        <f t="shared" si="1"/>
        <v>08088409572</v>
      </c>
      <c r="G4" t="s">
        <v>154</v>
      </c>
      <c r="H4" t="str">
        <f t="shared" si="2"/>
        <v>Customer Service</v>
      </c>
      <c r="I4" t="s">
        <v>160</v>
      </c>
      <c r="J4" t="s">
        <v>163</v>
      </c>
      <c r="K4" t="str">
        <f t="shared" si="3"/>
        <v>Pending</v>
      </c>
      <c r="L4">
        <v>18500</v>
      </c>
    </row>
    <row r="5" spans="1:13" x14ac:dyDescent="0.3">
      <c r="A5">
        <v>4</v>
      </c>
      <c r="B5" t="s">
        <v>11</v>
      </c>
      <c r="C5" t="str">
        <f t="shared" si="0"/>
        <v>Ada Adebayo</v>
      </c>
      <c r="D5" t="s">
        <v>59</v>
      </c>
      <c r="E5" t="s">
        <v>106</v>
      </c>
      <c r="F5" t="str">
        <f t="shared" si="1"/>
        <v>08077321077</v>
      </c>
      <c r="G5" t="s">
        <v>155</v>
      </c>
      <c r="H5" t="str">
        <f t="shared" si="2"/>
        <v>Sales</v>
      </c>
      <c r="I5" t="s">
        <v>160</v>
      </c>
      <c r="J5" t="s">
        <v>165</v>
      </c>
      <c r="K5" t="str">
        <f t="shared" si="3"/>
        <v>Completed</v>
      </c>
      <c r="L5">
        <v>12500</v>
      </c>
    </row>
    <row r="6" spans="1:13" x14ac:dyDescent="0.3">
      <c r="A6">
        <v>5</v>
      </c>
      <c r="B6" t="s">
        <v>12</v>
      </c>
      <c r="C6" t="str">
        <f t="shared" si="0"/>
        <v>Joy Onyeka</v>
      </c>
      <c r="D6" t="s">
        <v>60</v>
      </c>
      <c r="E6" t="s">
        <v>107</v>
      </c>
      <c r="F6" t="str">
        <f t="shared" si="1"/>
        <v>08078951691</v>
      </c>
      <c r="G6" t="s">
        <v>154</v>
      </c>
      <c r="H6" t="str">
        <f t="shared" si="2"/>
        <v>Customer Service</v>
      </c>
      <c r="I6" t="s">
        <v>161</v>
      </c>
      <c r="J6" t="s">
        <v>163</v>
      </c>
      <c r="K6" t="str">
        <f t="shared" si="3"/>
        <v>Pending</v>
      </c>
      <c r="L6">
        <v>32000</v>
      </c>
    </row>
    <row r="7" spans="1:13" x14ac:dyDescent="0.3">
      <c r="A7">
        <v>6</v>
      </c>
      <c r="B7" t="s">
        <v>13</v>
      </c>
      <c r="C7" t="str">
        <f t="shared" si="0"/>
        <v>Grace Adeyemi</v>
      </c>
      <c r="D7" t="s">
        <v>61</v>
      </c>
      <c r="E7" t="s">
        <v>108</v>
      </c>
      <c r="F7" t="str">
        <f t="shared" si="1"/>
        <v>08055070003</v>
      </c>
      <c r="G7" t="s">
        <v>156</v>
      </c>
      <c r="H7" t="str">
        <f t="shared" si="2"/>
        <v>Finance</v>
      </c>
      <c r="I7" t="s">
        <v>158</v>
      </c>
      <c r="J7" t="s">
        <v>164</v>
      </c>
      <c r="K7" t="str">
        <f t="shared" si="3"/>
        <v>Pending</v>
      </c>
      <c r="L7">
        <v>15000</v>
      </c>
    </row>
    <row r="8" spans="1:13" x14ac:dyDescent="0.3">
      <c r="A8">
        <v>7</v>
      </c>
      <c r="B8" t="s">
        <v>14</v>
      </c>
      <c r="C8" t="str">
        <f t="shared" si="0"/>
        <v>Joseph Okeke</v>
      </c>
      <c r="D8" t="s">
        <v>62</v>
      </c>
      <c r="E8" t="s">
        <v>109</v>
      </c>
      <c r="F8" t="str">
        <f t="shared" si="1"/>
        <v>08044769043</v>
      </c>
      <c r="G8" t="s">
        <v>155</v>
      </c>
      <c r="H8" t="str">
        <f t="shared" si="2"/>
        <v>Sales</v>
      </c>
      <c r="I8" t="s">
        <v>162</v>
      </c>
      <c r="J8" t="s">
        <v>163</v>
      </c>
      <c r="K8" t="str">
        <f t="shared" si="3"/>
        <v>Pending</v>
      </c>
      <c r="L8">
        <v>25000</v>
      </c>
    </row>
    <row r="9" spans="1:13" x14ac:dyDescent="0.3">
      <c r="A9">
        <v>8</v>
      </c>
      <c r="B9" t="s">
        <v>15</v>
      </c>
      <c r="C9" t="str">
        <f t="shared" si="0"/>
        <v>Grace Umeh</v>
      </c>
      <c r="D9" t="s">
        <v>63</v>
      </c>
      <c r="E9" t="s">
        <v>110</v>
      </c>
      <c r="F9" t="str">
        <f t="shared" si="1"/>
        <v>08091039726</v>
      </c>
      <c r="G9" t="s">
        <v>153</v>
      </c>
      <c r="H9" t="str">
        <f t="shared" si="2"/>
        <v>Sales</v>
      </c>
      <c r="I9" t="s">
        <v>161</v>
      </c>
      <c r="J9" t="s">
        <v>165</v>
      </c>
      <c r="K9" t="str">
        <f t="shared" si="3"/>
        <v>Completed</v>
      </c>
      <c r="L9">
        <v>25000</v>
      </c>
    </row>
    <row r="10" spans="1:13" x14ac:dyDescent="0.3">
      <c r="A10">
        <v>9</v>
      </c>
      <c r="B10" t="s">
        <v>16</v>
      </c>
      <c r="C10" t="str">
        <f t="shared" si="0"/>
        <v>Daniel Onyeka</v>
      </c>
      <c r="D10" t="s">
        <v>64</v>
      </c>
      <c r="E10" t="s">
        <v>111</v>
      </c>
      <c r="F10" t="str">
        <f t="shared" si="1"/>
        <v>08025645592</v>
      </c>
      <c r="G10" t="s">
        <v>157</v>
      </c>
      <c r="H10" t="str">
        <f t="shared" si="2"/>
        <v>Operations</v>
      </c>
      <c r="I10" t="s">
        <v>161</v>
      </c>
      <c r="J10" t="s">
        <v>166</v>
      </c>
      <c r="K10" t="str">
        <f t="shared" si="3"/>
        <v>Completed</v>
      </c>
      <c r="L10">
        <v>25000</v>
      </c>
    </row>
    <row r="11" spans="1:13" x14ac:dyDescent="0.3">
      <c r="A11">
        <v>10</v>
      </c>
      <c r="B11" t="s">
        <v>17</v>
      </c>
      <c r="C11" t="str">
        <f t="shared" si="0"/>
        <v>Victor Adeyemi</v>
      </c>
      <c r="D11" t="s">
        <v>65</v>
      </c>
      <c r="E11" t="s">
        <v>112</v>
      </c>
      <c r="F11" t="str">
        <f t="shared" si="1"/>
        <v>08069608269</v>
      </c>
      <c r="G11" t="s">
        <v>157</v>
      </c>
      <c r="H11" t="str">
        <f t="shared" si="2"/>
        <v>Operations</v>
      </c>
      <c r="I11" t="s">
        <v>160</v>
      </c>
      <c r="J11" t="s">
        <v>164</v>
      </c>
      <c r="K11" t="str">
        <f t="shared" si="3"/>
        <v>Pending</v>
      </c>
      <c r="L11">
        <v>18500</v>
      </c>
    </row>
    <row r="12" spans="1:13" x14ac:dyDescent="0.3">
      <c r="A12">
        <v>11</v>
      </c>
      <c r="B12" t="s">
        <v>18</v>
      </c>
      <c r="C12" t="str">
        <f t="shared" si="0"/>
        <v>Esther Adebayo</v>
      </c>
      <c r="D12" t="s">
        <v>66</v>
      </c>
      <c r="E12" t="s">
        <v>113</v>
      </c>
      <c r="F12" t="str">
        <f t="shared" si="1"/>
        <v>08075196103</v>
      </c>
      <c r="G12" t="s">
        <v>155</v>
      </c>
      <c r="H12" t="str">
        <f t="shared" si="2"/>
        <v>Sales</v>
      </c>
      <c r="I12" t="s">
        <v>162</v>
      </c>
      <c r="J12" t="s">
        <v>164</v>
      </c>
      <c r="K12" t="str">
        <f t="shared" si="3"/>
        <v>Pending</v>
      </c>
      <c r="L12">
        <v>15000</v>
      </c>
    </row>
    <row r="13" spans="1:13" x14ac:dyDescent="0.3">
      <c r="A13">
        <v>12</v>
      </c>
      <c r="B13" t="s">
        <v>19</v>
      </c>
      <c r="C13" t="str">
        <f t="shared" si="0"/>
        <v>Emeka Okeke</v>
      </c>
      <c r="E13" t="s">
        <v>114</v>
      </c>
      <c r="F13" t="str">
        <f t="shared" si="1"/>
        <v>08063207356</v>
      </c>
      <c r="G13" t="s">
        <v>157</v>
      </c>
      <c r="H13" t="str">
        <f t="shared" si="2"/>
        <v>Operations</v>
      </c>
      <c r="I13" t="s">
        <v>158</v>
      </c>
      <c r="J13" t="s">
        <v>165</v>
      </c>
      <c r="K13" t="str">
        <f t="shared" si="3"/>
        <v>Completed</v>
      </c>
      <c r="L13">
        <v>22000</v>
      </c>
      <c r="M13" t="s">
        <v>168</v>
      </c>
    </row>
    <row r="14" spans="1:13" x14ac:dyDescent="0.3">
      <c r="A14">
        <v>13</v>
      </c>
      <c r="B14" t="s">
        <v>20</v>
      </c>
      <c r="C14" t="str">
        <f t="shared" si="0"/>
        <v>Emeka Onyeka</v>
      </c>
      <c r="D14" t="s">
        <v>67</v>
      </c>
      <c r="E14" t="s">
        <v>115</v>
      </c>
      <c r="F14" t="str">
        <f t="shared" si="1"/>
        <v>08076306338</v>
      </c>
      <c r="G14" t="s">
        <v>157</v>
      </c>
      <c r="H14" t="str">
        <f t="shared" si="2"/>
        <v>Operations</v>
      </c>
      <c r="I14" t="s">
        <v>162</v>
      </c>
      <c r="J14" t="s">
        <v>166</v>
      </c>
      <c r="K14" t="str">
        <f t="shared" si="3"/>
        <v>Completed</v>
      </c>
      <c r="L14">
        <v>22000</v>
      </c>
    </row>
    <row r="15" spans="1:13" x14ac:dyDescent="0.3">
      <c r="A15">
        <v>14</v>
      </c>
      <c r="B15" t="s">
        <v>21</v>
      </c>
      <c r="C15" t="str">
        <f t="shared" si="0"/>
        <v>Ngozi Adeyemi</v>
      </c>
      <c r="D15" t="s">
        <v>68</v>
      </c>
      <c r="E15" t="s">
        <v>116</v>
      </c>
      <c r="F15" t="str">
        <f t="shared" si="1"/>
        <v>08051637154</v>
      </c>
      <c r="G15" t="s">
        <v>155</v>
      </c>
      <c r="H15" t="str">
        <f t="shared" si="2"/>
        <v>Sales</v>
      </c>
      <c r="I15" t="s">
        <v>161</v>
      </c>
      <c r="J15" t="s">
        <v>166</v>
      </c>
      <c r="K15" t="str">
        <f t="shared" si="3"/>
        <v>Completed</v>
      </c>
      <c r="L15">
        <v>12500</v>
      </c>
    </row>
    <row r="16" spans="1:13" x14ac:dyDescent="0.3">
      <c r="A16">
        <v>15</v>
      </c>
      <c r="B16" t="s">
        <v>22</v>
      </c>
      <c r="C16" t="str">
        <f t="shared" si="0"/>
        <v>Grace Obi</v>
      </c>
      <c r="D16" t="s">
        <v>69</v>
      </c>
      <c r="E16" t="s">
        <v>117</v>
      </c>
      <c r="F16" t="str">
        <f t="shared" si="1"/>
        <v>08064260771</v>
      </c>
      <c r="G16" t="s">
        <v>154</v>
      </c>
      <c r="H16" t="str">
        <f t="shared" si="2"/>
        <v>Customer Service</v>
      </c>
      <c r="I16" t="s">
        <v>162</v>
      </c>
      <c r="J16" t="s">
        <v>166</v>
      </c>
      <c r="K16" t="str">
        <f t="shared" si="3"/>
        <v>Completed</v>
      </c>
      <c r="L16">
        <v>32000</v>
      </c>
    </row>
    <row r="17" spans="1:12" x14ac:dyDescent="0.3">
      <c r="A17">
        <v>16</v>
      </c>
      <c r="B17" t="s">
        <v>23</v>
      </c>
      <c r="C17" t="str">
        <f t="shared" si="0"/>
        <v>Joy Umeh</v>
      </c>
      <c r="D17" t="s">
        <v>70</v>
      </c>
      <c r="E17" t="s">
        <v>118</v>
      </c>
      <c r="F17" t="str">
        <f t="shared" si="1"/>
        <v>08075620223</v>
      </c>
      <c r="G17" t="s">
        <v>153</v>
      </c>
      <c r="H17" t="str">
        <f t="shared" si="2"/>
        <v>Sales</v>
      </c>
      <c r="I17" t="s">
        <v>162</v>
      </c>
      <c r="J17" t="s">
        <v>164</v>
      </c>
      <c r="K17" t="str">
        <f t="shared" si="3"/>
        <v>Pending</v>
      </c>
      <c r="L17">
        <v>25000</v>
      </c>
    </row>
    <row r="18" spans="1:12" x14ac:dyDescent="0.3">
      <c r="A18">
        <v>17</v>
      </c>
      <c r="B18" t="s">
        <v>24</v>
      </c>
      <c r="C18" t="str">
        <f t="shared" si="0"/>
        <v>Mary Okafor</v>
      </c>
      <c r="D18" t="s">
        <v>71</v>
      </c>
      <c r="E18" t="s">
        <v>119</v>
      </c>
      <c r="F18" t="str">
        <f t="shared" si="1"/>
        <v>08047562240</v>
      </c>
      <c r="G18" t="s">
        <v>154</v>
      </c>
      <c r="H18" t="str">
        <f t="shared" si="2"/>
        <v>Customer Service</v>
      </c>
      <c r="I18" t="s">
        <v>158</v>
      </c>
      <c r="J18" t="s">
        <v>165</v>
      </c>
      <c r="K18" t="str">
        <f t="shared" si="3"/>
        <v>Completed</v>
      </c>
      <c r="L18">
        <v>40000</v>
      </c>
    </row>
    <row r="19" spans="1:12" x14ac:dyDescent="0.3">
      <c r="A19">
        <v>18</v>
      </c>
      <c r="B19" t="s">
        <v>25</v>
      </c>
      <c r="C19" t="str">
        <f t="shared" si="0"/>
        <v>Joseph Obi</v>
      </c>
      <c r="D19" t="s">
        <v>72</v>
      </c>
      <c r="E19" t="s">
        <v>120</v>
      </c>
      <c r="F19" t="str">
        <f t="shared" si="1"/>
        <v>08094847092</v>
      </c>
      <c r="G19" t="s">
        <v>153</v>
      </c>
      <c r="H19" t="str">
        <f t="shared" si="2"/>
        <v>Sales</v>
      </c>
      <c r="I19" t="s">
        <v>162</v>
      </c>
      <c r="J19" t="s">
        <v>164</v>
      </c>
      <c r="K19" t="str">
        <f t="shared" si="3"/>
        <v>Pending</v>
      </c>
      <c r="L19">
        <v>40000</v>
      </c>
    </row>
    <row r="20" spans="1:12" x14ac:dyDescent="0.3">
      <c r="A20">
        <v>19</v>
      </c>
      <c r="B20" t="s">
        <v>26</v>
      </c>
      <c r="C20" t="str">
        <f t="shared" si="0"/>
        <v>Chioma Okeke</v>
      </c>
      <c r="D20" t="s">
        <v>73</v>
      </c>
      <c r="E20" t="s">
        <v>121</v>
      </c>
      <c r="F20" t="str">
        <f t="shared" si="1"/>
        <v>08036937066</v>
      </c>
      <c r="G20" t="s">
        <v>157</v>
      </c>
      <c r="H20" t="str">
        <f t="shared" si="2"/>
        <v>Operations</v>
      </c>
      <c r="I20" t="s">
        <v>159</v>
      </c>
      <c r="J20" t="s">
        <v>165</v>
      </c>
      <c r="K20" t="str">
        <f t="shared" si="3"/>
        <v>Completed</v>
      </c>
      <c r="L20">
        <v>40000</v>
      </c>
    </row>
    <row r="21" spans="1:12" x14ac:dyDescent="0.3">
      <c r="A21">
        <v>20</v>
      </c>
      <c r="B21" t="s">
        <v>27</v>
      </c>
      <c r="C21" t="str">
        <f t="shared" si="0"/>
        <v>Blessing Okafor</v>
      </c>
      <c r="D21" t="s">
        <v>74</v>
      </c>
      <c r="E21" t="s">
        <v>122</v>
      </c>
      <c r="F21" t="str">
        <f t="shared" si="1"/>
        <v>08079285447</v>
      </c>
      <c r="G21" t="s">
        <v>157</v>
      </c>
      <c r="H21" t="str">
        <f t="shared" si="2"/>
        <v>Operations</v>
      </c>
      <c r="I21" t="s">
        <v>162</v>
      </c>
      <c r="J21" t="s">
        <v>165</v>
      </c>
      <c r="K21" t="str">
        <f t="shared" si="3"/>
        <v>Completed</v>
      </c>
      <c r="L21">
        <v>12500</v>
      </c>
    </row>
    <row r="22" spans="1:12" x14ac:dyDescent="0.3">
      <c r="A22">
        <v>21</v>
      </c>
      <c r="B22" t="s">
        <v>28</v>
      </c>
      <c r="C22" t="str">
        <f t="shared" si="0"/>
        <v>Blessing Obi</v>
      </c>
      <c r="D22" t="s">
        <v>75</v>
      </c>
      <c r="E22" t="s">
        <v>123</v>
      </c>
      <c r="F22" t="str">
        <f t="shared" si="1"/>
        <v>08002426353</v>
      </c>
      <c r="G22" t="s">
        <v>154</v>
      </c>
      <c r="H22" t="str">
        <f t="shared" si="2"/>
        <v>Customer Service</v>
      </c>
      <c r="I22" t="s">
        <v>160</v>
      </c>
      <c r="J22" t="s">
        <v>166</v>
      </c>
      <c r="K22" t="str">
        <f t="shared" si="3"/>
        <v>Completed</v>
      </c>
      <c r="L22">
        <v>40000</v>
      </c>
    </row>
    <row r="23" spans="1:12" x14ac:dyDescent="0.3">
      <c r="A23">
        <v>22</v>
      </c>
      <c r="B23" t="s">
        <v>29</v>
      </c>
      <c r="C23" t="str">
        <f t="shared" si="0"/>
        <v>Esther Adeyemi</v>
      </c>
      <c r="D23" t="s">
        <v>76</v>
      </c>
      <c r="E23" t="s">
        <v>124</v>
      </c>
      <c r="F23" t="str">
        <f t="shared" si="1"/>
        <v>08033710029</v>
      </c>
      <c r="G23" t="s">
        <v>156</v>
      </c>
      <c r="H23" t="str">
        <f t="shared" si="2"/>
        <v>Finance</v>
      </c>
      <c r="I23" t="s">
        <v>158</v>
      </c>
      <c r="J23" t="s">
        <v>165</v>
      </c>
      <c r="K23" t="str">
        <f t="shared" si="3"/>
        <v>Completed</v>
      </c>
      <c r="L23">
        <v>32000</v>
      </c>
    </row>
    <row r="24" spans="1:12" x14ac:dyDescent="0.3">
      <c r="A24">
        <v>23</v>
      </c>
      <c r="B24" t="s">
        <v>30</v>
      </c>
      <c r="C24" t="str">
        <f t="shared" si="0"/>
        <v>David Ibrahim</v>
      </c>
      <c r="D24" t="s">
        <v>77</v>
      </c>
      <c r="E24" t="s">
        <v>125</v>
      </c>
      <c r="F24" t="str">
        <f t="shared" si="1"/>
        <v>08056189025</v>
      </c>
      <c r="G24" t="s">
        <v>157</v>
      </c>
      <c r="H24" t="str">
        <f t="shared" si="2"/>
        <v>Operations</v>
      </c>
      <c r="I24" t="s">
        <v>159</v>
      </c>
      <c r="J24" t="s">
        <v>165</v>
      </c>
      <c r="K24" t="str">
        <f t="shared" si="3"/>
        <v>Completed</v>
      </c>
      <c r="L24">
        <v>40000</v>
      </c>
    </row>
    <row r="25" spans="1:12" x14ac:dyDescent="0.3">
      <c r="A25">
        <v>24</v>
      </c>
      <c r="B25" t="s">
        <v>31</v>
      </c>
      <c r="C25" t="str">
        <f t="shared" si="0"/>
        <v>Daniel Nwosu</v>
      </c>
      <c r="D25" t="s">
        <v>78</v>
      </c>
      <c r="E25" t="s">
        <v>126</v>
      </c>
      <c r="F25" t="str">
        <f t="shared" si="1"/>
        <v>08062025146</v>
      </c>
      <c r="G25" t="s">
        <v>153</v>
      </c>
      <c r="H25" t="str">
        <f t="shared" si="2"/>
        <v>Sales</v>
      </c>
      <c r="I25" t="s">
        <v>161</v>
      </c>
      <c r="J25" t="s">
        <v>165</v>
      </c>
      <c r="K25" t="str">
        <f t="shared" si="3"/>
        <v>Completed</v>
      </c>
      <c r="L25">
        <v>12500</v>
      </c>
    </row>
    <row r="26" spans="1:12" x14ac:dyDescent="0.3">
      <c r="A26">
        <v>25</v>
      </c>
      <c r="B26" t="s">
        <v>32</v>
      </c>
      <c r="C26" t="str">
        <f t="shared" si="0"/>
        <v>David Onyeka</v>
      </c>
      <c r="D26" t="s">
        <v>79</v>
      </c>
      <c r="E26" t="s">
        <v>127</v>
      </c>
      <c r="F26" t="str">
        <f t="shared" si="1"/>
        <v>08040043209</v>
      </c>
      <c r="G26" t="s">
        <v>154</v>
      </c>
      <c r="H26" t="str">
        <f t="shared" si="2"/>
        <v>Customer Service</v>
      </c>
      <c r="I26" t="s">
        <v>160</v>
      </c>
      <c r="J26" t="s">
        <v>163</v>
      </c>
      <c r="K26" t="str">
        <f t="shared" si="3"/>
        <v>Pending</v>
      </c>
      <c r="L26">
        <v>18500</v>
      </c>
    </row>
    <row r="27" spans="1:12" x14ac:dyDescent="0.3">
      <c r="A27">
        <v>26</v>
      </c>
      <c r="B27" t="s">
        <v>33</v>
      </c>
      <c r="C27" t="str">
        <f t="shared" si="0"/>
        <v>Mary Umeh</v>
      </c>
      <c r="D27" t="s">
        <v>80</v>
      </c>
      <c r="E27" t="s">
        <v>128</v>
      </c>
      <c r="F27" t="str">
        <f t="shared" si="1"/>
        <v>08062985433</v>
      </c>
      <c r="G27" t="s">
        <v>154</v>
      </c>
      <c r="H27" t="str">
        <f t="shared" si="2"/>
        <v>Customer Service</v>
      </c>
      <c r="I27" t="s">
        <v>162</v>
      </c>
      <c r="J27" t="s">
        <v>163</v>
      </c>
      <c r="K27" t="str">
        <f t="shared" si="3"/>
        <v>Pending</v>
      </c>
      <c r="L27">
        <v>12500</v>
      </c>
    </row>
    <row r="28" spans="1:12" x14ac:dyDescent="0.3">
      <c r="A28">
        <v>27</v>
      </c>
      <c r="B28" t="s">
        <v>34</v>
      </c>
      <c r="C28" t="str">
        <f t="shared" si="0"/>
        <v>Chinedu Nwosu</v>
      </c>
      <c r="D28" t="s">
        <v>81</v>
      </c>
      <c r="E28" t="s">
        <v>129</v>
      </c>
      <c r="F28" t="str">
        <f t="shared" si="1"/>
        <v>08073042819</v>
      </c>
      <c r="G28" t="s">
        <v>154</v>
      </c>
      <c r="H28" t="str">
        <f t="shared" si="2"/>
        <v>Customer Service</v>
      </c>
      <c r="I28" t="s">
        <v>162</v>
      </c>
      <c r="J28" t="s">
        <v>164</v>
      </c>
      <c r="K28" t="str">
        <f t="shared" si="3"/>
        <v>Pending</v>
      </c>
      <c r="L28">
        <v>18500</v>
      </c>
    </row>
    <row r="29" spans="1:12" x14ac:dyDescent="0.3">
      <c r="A29">
        <v>28</v>
      </c>
      <c r="B29" t="s">
        <v>35</v>
      </c>
      <c r="C29" t="str">
        <f t="shared" si="0"/>
        <v>Kelvin Adebayo</v>
      </c>
      <c r="D29" t="s">
        <v>82</v>
      </c>
      <c r="E29" t="s">
        <v>130</v>
      </c>
      <c r="F29" t="str">
        <f t="shared" si="1"/>
        <v>08007856844</v>
      </c>
      <c r="G29" t="s">
        <v>153</v>
      </c>
      <c r="H29" t="str">
        <f t="shared" si="2"/>
        <v>Sales</v>
      </c>
      <c r="I29" t="s">
        <v>162</v>
      </c>
      <c r="J29" t="s">
        <v>166</v>
      </c>
      <c r="K29" t="str">
        <f t="shared" si="3"/>
        <v>Completed</v>
      </c>
      <c r="L29">
        <v>40000</v>
      </c>
    </row>
    <row r="30" spans="1:12" x14ac:dyDescent="0.3">
      <c r="A30">
        <v>29</v>
      </c>
      <c r="B30" t="s">
        <v>36</v>
      </c>
      <c r="C30" t="str">
        <f t="shared" si="0"/>
        <v>Ngozi Umeh</v>
      </c>
      <c r="D30" t="s">
        <v>83</v>
      </c>
      <c r="E30" t="s">
        <v>131</v>
      </c>
      <c r="F30" t="str">
        <f t="shared" si="1"/>
        <v>08007263036</v>
      </c>
      <c r="G30" t="s">
        <v>156</v>
      </c>
      <c r="H30" t="str">
        <f t="shared" si="2"/>
        <v>Finance</v>
      </c>
      <c r="I30" t="s">
        <v>162</v>
      </c>
      <c r="J30" t="s">
        <v>166</v>
      </c>
      <c r="K30" t="str">
        <f t="shared" si="3"/>
        <v>Completed</v>
      </c>
      <c r="L30">
        <v>12500</v>
      </c>
    </row>
    <row r="31" spans="1:12" x14ac:dyDescent="0.3">
      <c r="A31">
        <v>30</v>
      </c>
      <c r="B31" t="s">
        <v>37</v>
      </c>
      <c r="C31" t="str">
        <f t="shared" si="0"/>
        <v>Victor Okafor</v>
      </c>
      <c r="D31" t="s">
        <v>84</v>
      </c>
      <c r="E31" t="s">
        <v>132</v>
      </c>
      <c r="F31" t="str">
        <f t="shared" si="1"/>
        <v>08042461163</v>
      </c>
      <c r="G31" t="s">
        <v>155</v>
      </c>
      <c r="H31" t="str">
        <f t="shared" si="2"/>
        <v>Sales</v>
      </c>
      <c r="I31" t="s">
        <v>159</v>
      </c>
      <c r="J31" t="s">
        <v>163</v>
      </c>
      <c r="K31" t="str">
        <f t="shared" si="3"/>
        <v>Pending</v>
      </c>
      <c r="L31">
        <v>18500</v>
      </c>
    </row>
    <row r="32" spans="1:12" x14ac:dyDescent="0.3">
      <c r="A32">
        <v>31</v>
      </c>
      <c r="B32" t="s">
        <v>38</v>
      </c>
      <c r="C32" t="str">
        <f t="shared" si="0"/>
        <v>Samuel Ibrahim</v>
      </c>
      <c r="D32" t="s">
        <v>85</v>
      </c>
      <c r="E32" t="s">
        <v>133</v>
      </c>
      <c r="F32" t="str">
        <f t="shared" si="1"/>
        <v>08099296439</v>
      </c>
      <c r="G32" t="s">
        <v>157</v>
      </c>
      <c r="H32" t="str">
        <f t="shared" si="2"/>
        <v>Operations</v>
      </c>
      <c r="I32" t="s">
        <v>159</v>
      </c>
      <c r="J32" t="s">
        <v>165</v>
      </c>
      <c r="K32" t="str">
        <f t="shared" si="3"/>
        <v>Completed</v>
      </c>
      <c r="L32">
        <v>12500</v>
      </c>
    </row>
    <row r="33" spans="1:12" x14ac:dyDescent="0.3">
      <c r="A33">
        <v>32</v>
      </c>
      <c r="B33" t="s">
        <v>39</v>
      </c>
      <c r="C33" t="str">
        <f t="shared" si="0"/>
        <v>Chinedu Onyeka</v>
      </c>
      <c r="D33" t="s">
        <v>86</v>
      </c>
      <c r="E33" t="s">
        <v>134</v>
      </c>
      <c r="F33" t="str">
        <f t="shared" si="1"/>
        <v>08070319342</v>
      </c>
      <c r="G33" t="s">
        <v>157</v>
      </c>
      <c r="H33" t="str">
        <f t="shared" si="2"/>
        <v>Operations</v>
      </c>
      <c r="I33" t="s">
        <v>161</v>
      </c>
      <c r="J33" t="s">
        <v>166</v>
      </c>
      <c r="K33" t="str">
        <f t="shared" si="3"/>
        <v>Completed</v>
      </c>
      <c r="L33">
        <v>22000</v>
      </c>
    </row>
    <row r="34" spans="1:12" x14ac:dyDescent="0.3">
      <c r="A34">
        <v>33</v>
      </c>
      <c r="B34" t="s">
        <v>40</v>
      </c>
      <c r="C34" t="str">
        <f t="shared" ref="C34:C51" si="4">PROPER(TRIM(B34))</f>
        <v>Francis Adeyemi</v>
      </c>
      <c r="D34" t="s">
        <v>87</v>
      </c>
      <c r="E34" t="s">
        <v>135</v>
      </c>
      <c r="F34" t="str">
        <f t="shared" ref="F34:F51" si="5">IF(LEFT(E34,4)="+234","0"&amp;MID(E34,5,10),SUBSTITUTE(E34,"-",""))</f>
        <v>08066589120</v>
      </c>
      <c r="G34" t="s">
        <v>157</v>
      </c>
      <c r="H34" t="str">
        <f t="shared" si="2"/>
        <v>Operations</v>
      </c>
      <c r="I34" t="s">
        <v>158</v>
      </c>
      <c r="J34" t="s">
        <v>164</v>
      </c>
      <c r="K34" t="str">
        <f t="shared" si="3"/>
        <v>Pending</v>
      </c>
      <c r="L34">
        <v>40000</v>
      </c>
    </row>
    <row r="35" spans="1:12" x14ac:dyDescent="0.3">
      <c r="A35">
        <v>34</v>
      </c>
      <c r="B35" t="s">
        <v>29</v>
      </c>
      <c r="C35" t="str">
        <f t="shared" si="4"/>
        <v>Esther Adeyemi</v>
      </c>
      <c r="D35" t="s">
        <v>76</v>
      </c>
      <c r="E35" t="s">
        <v>136</v>
      </c>
      <c r="F35" t="str">
        <f t="shared" si="5"/>
        <v>08061009125</v>
      </c>
      <c r="G35" t="s">
        <v>157</v>
      </c>
      <c r="H35" t="str">
        <f t="shared" si="2"/>
        <v>Operations</v>
      </c>
      <c r="I35" t="s">
        <v>160</v>
      </c>
      <c r="J35" t="s">
        <v>165</v>
      </c>
      <c r="K35" t="str">
        <f t="shared" si="3"/>
        <v>Completed</v>
      </c>
      <c r="L35">
        <v>32000</v>
      </c>
    </row>
    <row r="36" spans="1:12" x14ac:dyDescent="0.3">
      <c r="A36">
        <v>35</v>
      </c>
      <c r="B36" t="s">
        <v>41</v>
      </c>
      <c r="C36" t="str">
        <f t="shared" si="4"/>
        <v>Michael Okafor</v>
      </c>
      <c r="D36" t="s">
        <v>88</v>
      </c>
      <c r="E36" t="s">
        <v>137</v>
      </c>
      <c r="F36" t="str">
        <f t="shared" si="5"/>
        <v>08031184665</v>
      </c>
      <c r="G36" t="s">
        <v>154</v>
      </c>
      <c r="H36" t="str">
        <f t="shared" si="2"/>
        <v>Customer Service</v>
      </c>
      <c r="I36" t="s">
        <v>161</v>
      </c>
      <c r="J36" t="s">
        <v>166</v>
      </c>
      <c r="K36" t="str">
        <f t="shared" si="3"/>
        <v>Completed</v>
      </c>
      <c r="L36">
        <v>15000</v>
      </c>
    </row>
    <row r="37" spans="1:12" x14ac:dyDescent="0.3">
      <c r="A37">
        <v>36</v>
      </c>
      <c r="B37" t="s">
        <v>42</v>
      </c>
      <c r="C37" t="str">
        <f t="shared" si="4"/>
        <v>Amaka Obi</v>
      </c>
      <c r="D37" t="s">
        <v>89</v>
      </c>
      <c r="E37" t="s">
        <v>138</v>
      </c>
      <c r="F37" t="str">
        <f t="shared" si="5"/>
        <v>08078549044</v>
      </c>
      <c r="G37" t="s">
        <v>153</v>
      </c>
      <c r="H37" t="str">
        <f t="shared" si="2"/>
        <v>Sales</v>
      </c>
      <c r="I37" t="s">
        <v>162</v>
      </c>
      <c r="J37" t="s">
        <v>163</v>
      </c>
      <c r="K37" t="str">
        <f t="shared" si="3"/>
        <v>Pending</v>
      </c>
      <c r="L37">
        <v>15000</v>
      </c>
    </row>
    <row r="38" spans="1:12" x14ac:dyDescent="0.3">
      <c r="A38">
        <v>37</v>
      </c>
      <c r="B38" t="s">
        <v>43</v>
      </c>
      <c r="C38" t="str">
        <f t="shared" si="4"/>
        <v>Ifeoma Okeke</v>
      </c>
      <c r="D38" t="s">
        <v>90</v>
      </c>
      <c r="E38" t="s">
        <v>139</v>
      </c>
      <c r="F38" t="str">
        <f t="shared" si="5"/>
        <v>08024234404</v>
      </c>
      <c r="G38" t="s">
        <v>157</v>
      </c>
      <c r="H38" t="str">
        <f t="shared" si="2"/>
        <v>Operations</v>
      </c>
      <c r="I38" t="s">
        <v>161</v>
      </c>
      <c r="J38" t="s">
        <v>166</v>
      </c>
      <c r="K38" t="str">
        <f t="shared" si="3"/>
        <v>Completed</v>
      </c>
      <c r="L38">
        <v>40000</v>
      </c>
    </row>
    <row r="39" spans="1:12" x14ac:dyDescent="0.3">
      <c r="A39">
        <v>38</v>
      </c>
      <c r="B39" t="s">
        <v>44</v>
      </c>
      <c r="C39" t="str">
        <f t="shared" si="4"/>
        <v>Francis Eze</v>
      </c>
      <c r="D39" t="s">
        <v>91</v>
      </c>
      <c r="E39" t="s">
        <v>140</v>
      </c>
      <c r="F39" t="str">
        <f t="shared" si="5"/>
        <v>08023151483</v>
      </c>
      <c r="G39" t="s">
        <v>157</v>
      </c>
      <c r="H39" t="str">
        <f t="shared" si="2"/>
        <v>Operations</v>
      </c>
      <c r="I39" t="s">
        <v>160</v>
      </c>
      <c r="J39" t="s">
        <v>165</v>
      </c>
      <c r="K39" t="str">
        <f t="shared" si="3"/>
        <v>Completed</v>
      </c>
      <c r="L39">
        <v>32000</v>
      </c>
    </row>
    <row r="40" spans="1:12" x14ac:dyDescent="0.3">
      <c r="A40">
        <v>39</v>
      </c>
      <c r="B40" t="s">
        <v>45</v>
      </c>
      <c r="C40" t="str">
        <f t="shared" si="4"/>
        <v>Samuel Umeh</v>
      </c>
      <c r="D40" t="s">
        <v>92</v>
      </c>
      <c r="E40" t="s">
        <v>141</v>
      </c>
      <c r="F40" t="str">
        <f t="shared" si="5"/>
        <v>08021733085</v>
      </c>
      <c r="G40" t="s">
        <v>157</v>
      </c>
      <c r="H40" t="str">
        <f t="shared" si="2"/>
        <v>Operations</v>
      </c>
      <c r="I40" t="s">
        <v>159</v>
      </c>
      <c r="J40" t="s">
        <v>166</v>
      </c>
      <c r="K40" t="str">
        <f t="shared" si="3"/>
        <v>Completed</v>
      </c>
      <c r="L40">
        <v>32000</v>
      </c>
    </row>
    <row r="41" spans="1:12" x14ac:dyDescent="0.3">
      <c r="A41">
        <v>40</v>
      </c>
      <c r="B41" t="s">
        <v>46</v>
      </c>
      <c r="C41" t="str">
        <f t="shared" si="4"/>
        <v>Ifeoma Okafor</v>
      </c>
      <c r="D41" t="s">
        <v>93</v>
      </c>
      <c r="E41" t="s">
        <v>142</v>
      </c>
      <c r="F41" t="str">
        <f t="shared" si="5"/>
        <v>08017004464</v>
      </c>
      <c r="G41" t="s">
        <v>153</v>
      </c>
      <c r="H41" t="str">
        <f t="shared" si="2"/>
        <v>Sales</v>
      </c>
      <c r="I41" t="s">
        <v>162</v>
      </c>
      <c r="J41" t="s">
        <v>163</v>
      </c>
      <c r="K41" t="str">
        <f t="shared" si="3"/>
        <v>Pending</v>
      </c>
      <c r="L41">
        <v>18500</v>
      </c>
    </row>
    <row r="42" spans="1:12" x14ac:dyDescent="0.3">
      <c r="A42">
        <v>41</v>
      </c>
      <c r="B42" t="s">
        <v>47</v>
      </c>
      <c r="C42" t="str">
        <f t="shared" si="4"/>
        <v>Ada Umeh</v>
      </c>
      <c r="D42" t="s">
        <v>94</v>
      </c>
      <c r="E42" t="s">
        <v>143</v>
      </c>
      <c r="F42" t="str">
        <f t="shared" si="5"/>
        <v>08040344624</v>
      </c>
      <c r="G42" t="s">
        <v>154</v>
      </c>
      <c r="H42" t="str">
        <f t="shared" si="2"/>
        <v>Customer Service</v>
      </c>
      <c r="I42" t="s">
        <v>159</v>
      </c>
      <c r="J42" t="s">
        <v>163</v>
      </c>
      <c r="K42" t="str">
        <f t="shared" si="3"/>
        <v>Pending</v>
      </c>
      <c r="L42">
        <v>15000</v>
      </c>
    </row>
    <row r="43" spans="1:12" x14ac:dyDescent="0.3">
      <c r="A43">
        <v>42</v>
      </c>
      <c r="B43" t="s">
        <v>21</v>
      </c>
      <c r="C43" t="str">
        <f t="shared" si="4"/>
        <v>Ngozi Adeyemi</v>
      </c>
      <c r="D43" t="s">
        <v>68</v>
      </c>
      <c r="E43" t="s">
        <v>144</v>
      </c>
      <c r="F43" t="str">
        <f t="shared" si="5"/>
        <v>08070964556</v>
      </c>
      <c r="G43" t="s">
        <v>154</v>
      </c>
      <c r="H43" t="str">
        <f t="shared" si="2"/>
        <v>Customer Service</v>
      </c>
      <c r="I43" t="s">
        <v>160</v>
      </c>
      <c r="J43" t="s">
        <v>166</v>
      </c>
      <c r="K43" t="str">
        <f t="shared" si="3"/>
        <v>Completed</v>
      </c>
      <c r="L43">
        <v>18500</v>
      </c>
    </row>
    <row r="44" spans="1:12" x14ac:dyDescent="0.3">
      <c r="A44">
        <v>43</v>
      </c>
      <c r="B44" t="s">
        <v>48</v>
      </c>
      <c r="C44" t="str">
        <f t="shared" si="4"/>
        <v>Esther Eze</v>
      </c>
      <c r="D44" t="s">
        <v>95</v>
      </c>
      <c r="E44" t="s">
        <v>145</v>
      </c>
      <c r="F44" t="str">
        <f t="shared" si="5"/>
        <v>08046753040</v>
      </c>
      <c r="G44" t="s">
        <v>156</v>
      </c>
      <c r="H44" t="str">
        <f t="shared" si="2"/>
        <v>Finance</v>
      </c>
      <c r="I44" t="s">
        <v>160</v>
      </c>
      <c r="J44" t="s">
        <v>165</v>
      </c>
      <c r="K44" t="str">
        <f t="shared" si="3"/>
        <v>Completed</v>
      </c>
      <c r="L44">
        <v>40000</v>
      </c>
    </row>
    <row r="45" spans="1:12" x14ac:dyDescent="0.3">
      <c r="A45">
        <v>44</v>
      </c>
      <c r="B45" t="s">
        <v>49</v>
      </c>
      <c r="C45" t="str">
        <f t="shared" si="4"/>
        <v>Ifeoma Adebayo</v>
      </c>
      <c r="D45" t="s">
        <v>96</v>
      </c>
      <c r="E45" t="s">
        <v>146</v>
      </c>
      <c r="F45" t="str">
        <f t="shared" si="5"/>
        <v>08037606335</v>
      </c>
      <c r="G45" t="s">
        <v>157</v>
      </c>
      <c r="H45" t="str">
        <f t="shared" si="2"/>
        <v>Operations</v>
      </c>
      <c r="I45" t="s">
        <v>161</v>
      </c>
      <c r="J45" t="s">
        <v>163</v>
      </c>
      <c r="K45" t="str">
        <f t="shared" si="3"/>
        <v>Pending</v>
      </c>
      <c r="L45">
        <v>32000</v>
      </c>
    </row>
    <row r="46" spans="1:12" x14ac:dyDescent="0.3">
      <c r="A46">
        <v>45</v>
      </c>
      <c r="B46" t="s">
        <v>50</v>
      </c>
      <c r="C46" t="str">
        <f t="shared" si="4"/>
        <v>Ifeoma Adeyemi</v>
      </c>
      <c r="D46" t="s">
        <v>97</v>
      </c>
      <c r="E46" t="s">
        <v>147</v>
      </c>
      <c r="F46" t="str">
        <f t="shared" si="5"/>
        <v>08019127557</v>
      </c>
      <c r="G46" t="s">
        <v>153</v>
      </c>
      <c r="H46" t="str">
        <f t="shared" si="2"/>
        <v>Sales</v>
      </c>
      <c r="I46" t="s">
        <v>159</v>
      </c>
      <c r="J46" t="s">
        <v>166</v>
      </c>
      <c r="K46" t="str">
        <f t="shared" si="3"/>
        <v>Completed</v>
      </c>
      <c r="L46">
        <v>18500</v>
      </c>
    </row>
    <row r="47" spans="1:12" x14ac:dyDescent="0.3">
      <c r="A47">
        <v>46</v>
      </c>
      <c r="B47" t="s">
        <v>51</v>
      </c>
      <c r="C47" t="str">
        <f t="shared" si="4"/>
        <v>Kelvin Umeh</v>
      </c>
      <c r="D47" t="s">
        <v>98</v>
      </c>
      <c r="E47" t="s">
        <v>148</v>
      </c>
      <c r="F47" t="str">
        <f t="shared" si="5"/>
        <v>08079165477</v>
      </c>
      <c r="G47" t="s">
        <v>154</v>
      </c>
      <c r="H47" t="str">
        <f t="shared" si="2"/>
        <v>Customer Service</v>
      </c>
      <c r="I47" t="s">
        <v>161</v>
      </c>
      <c r="J47" t="s">
        <v>163</v>
      </c>
      <c r="K47" t="str">
        <f t="shared" si="3"/>
        <v>Pending</v>
      </c>
      <c r="L47">
        <v>12500</v>
      </c>
    </row>
    <row r="48" spans="1:12" x14ac:dyDescent="0.3">
      <c r="A48">
        <v>47</v>
      </c>
      <c r="B48" t="s">
        <v>52</v>
      </c>
      <c r="C48" t="str">
        <f t="shared" si="4"/>
        <v>Grace Onyeka</v>
      </c>
      <c r="D48" t="s">
        <v>99</v>
      </c>
      <c r="E48" t="s">
        <v>149</v>
      </c>
      <c r="F48" t="str">
        <f t="shared" si="5"/>
        <v>08012685188</v>
      </c>
      <c r="G48" t="s">
        <v>157</v>
      </c>
      <c r="H48" t="str">
        <f t="shared" si="2"/>
        <v>Operations</v>
      </c>
      <c r="I48" t="s">
        <v>160</v>
      </c>
      <c r="J48" t="s">
        <v>165</v>
      </c>
      <c r="K48" t="str">
        <f t="shared" si="3"/>
        <v>Completed</v>
      </c>
      <c r="L48">
        <v>12500</v>
      </c>
    </row>
    <row r="49" spans="1:12" x14ac:dyDescent="0.3">
      <c r="A49">
        <v>48</v>
      </c>
      <c r="B49" t="s">
        <v>53</v>
      </c>
      <c r="C49" t="str">
        <f t="shared" si="4"/>
        <v>Ada Obi</v>
      </c>
      <c r="D49" t="s">
        <v>100</v>
      </c>
      <c r="E49" t="s">
        <v>150</v>
      </c>
      <c r="F49" t="str">
        <f t="shared" si="5"/>
        <v>08012660845</v>
      </c>
      <c r="G49" t="s">
        <v>154</v>
      </c>
      <c r="H49" t="str">
        <f t="shared" si="2"/>
        <v>Customer Service</v>
      </c>
      <c r="I49" t="s">
        <v>161</v>
      </c>
      <c r="J49" t="s">
        <v>164</v>
      </c>
      <c r="K49" t="str">
        <f t="shared" si="3"/>
        <v>Pending</v>
      </c>
      <c r="L49">
        <v>22000</v>
      </c>
    </row>
    <row r="50" spans="1:12" x14ac:dyDescent="0.3">
      <c r="A50">
        <v>49</v>
      </c>
      <c r="B50" t="s">
        <v>54</v>
      </c>
      <c r="C50" t="str">
        <f t="shared" si="4"/>
        <v>Joseph Okafor</v>
      </c>
      <c r="D50" t="s">
        <v>101</v>
      </c>
      <c r="E50" t="s">
        <v>151</v>
      </c>
      <c r="F50" t="str">
        <f t="shared" si="5"/>
        <v>08062460905</v>
      </c>
      <c r="G50" t="s">
        <v>157</v>
      </c>
      <c r="H50" t="str">
        <f t="shared" si="2"/>
        <v>Operations</v>
      </c>
      <c r="I50" t="s">
        <v>161</v>
      </c>
      <c r="J50" t="s">
        <v>166</v>
      </c>
      <c r="K50" t="str">
        <f t="shared" si="3"/>
        <v>Completed</v>
      </c>
      <c r="L50">
        <v>12500</v>
      </c>
    </row>
    <row r="51" spans="1:12" x14ac:dyDescent="0.3">
      <c r="A51">
        <v>50</v>
      </c>
      <c r="B51" t="s">
        <v>55</v>
      </c>
      <c r="C51" t="str">
        <f t="shared" si="4"/>
        <v>Esther Ibrahim</v>
      </c>
      <c r="D51" t="s">
        <v>102</v>
      </c>
      <c r="E51" t="s">
        <v>152</v>
      </c>
      <c r="F51" t="str">
        <f t="shared" si="5"/>
        <v>08009595271</v>
      </c>
      <c r="G51" t="s">
        <v>157</v>
      </c>
      <c r="H51" t="str">
        <f t="shared" si="2"/>
        <v>Operations</v>
      </c>
      <c r="I51" t="s">
        <v>162</v>
      </c>
      <c r="J51" t="s">
        <v>164</v>
      </c>
      <c r="K51" t="str">
        <f t="shared" si="3"/>
        <v>Pending</v>
      </c>
      <c r="L51">
        <v>40000</v>
      </c>
    </row>
  </sheetData>
  <conditionalFormatting sqref="D1:D51">
    <cfRule type="containsBlanks" dxfId="0" priority="2">
      <formula>LEN(TRIM(D1))=0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Data_Quality_Summary</vt:lpstr>
      <vt:lpstr>Cleaned_Data</vt:lpstr>
      <vt:lpstr>Raw_Data</vt:lpstr>
      <vt:lpstr>Working_Data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2026-08-11T16:56:50Z</dcterms:created>
  <dcterms:modified xsi:type="dcterms:W3CDTF">2026-08-15T04:39:41Z</dcterms:modified>
</cp:coreProperties>
</file>